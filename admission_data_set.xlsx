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Justice\Desktop\TechDrive\Assignment\"/>
    </mc:Choice>
  </mc:AlternateContent>
  <xr:revisionPtr revIDLastSave="0" documentId="13_ncr:1_{CF839C4A-AF22-40FA-AF55-624AE229E862}" xr6:coauthVersionLast="47" xr6:coauthVersionMax="47" xr10:uidLastSave="{00000000-0000-0000-0000-000000000000}"/>
  <bookViews>
    <workbookView xWindow="-110" yWindow="-110" windowWidth="19420" windowHeight="10300" firstSheet="4" activeTab="4" xr2:uid="{00000000-000D-0000-FFFF-FFFF00000000}"/>
  </bookViews>
  <sheets>
    <sheet name="Avg chance by CGPA grp" sheetId="4" state="hidden" r:id="rId1"/>
    <sheet name="University rating effect" sheetId="5" state="hidden" r:id="rId2"/>
    <sheet name="Sheet1" sheetId="7" state="hidden" r:id="rId3"/>
    <sheet name="Sheet2" sheetId="8" state="hidden" r:id="rId4"/>
    <sheet name="Dashboard" sheetId="11" r:id="rId5"/>
    <sheet name="Sheet3" sheetId="9" state="hidden" r:id="rId6"/>
    <sheet name="admission_data_set" sheetId="1" state="hidden" r:id="rId7"/>
  </sheets>
  <definedNames>
    <definedName name="Slicer_CGPA_Group">#N/A</definedName>
    <definedName name="Slicer_GRE_Range">#N/A</definedName>
    <definedName name="Slicer_Research">#N/A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 i="9" l="1"/>
  <c r="B12" i="9"/>
  <c r="B11" i="9"/>
  <c r="B10" i="9"/>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alcChain>
</file>

<file path=xl/sharedStrings.xml><?xml version="1.0" encoding="utf-8"?>
<sst xmlns="http://schemas.openxmlformats.org/spreadsheetml/2006/main" count="43" uniqueCount="31">
  <si>
    <t>GRE Score</t>
  </si>
  <si>
    <t>TOEFL Score</t>
  </si>
  <si>
    <t>University Rating</t>
  </si>
  <si>
    <t>SOP</t>
  </si>
  <si>
    <t xml:space="preserve">LOR </t>
  </si>
  <si>
    <t>CGPA</t>
  </si>
  <si>
    <t>Research</t>
  </si>
  <si>
    <t xml:space="preserve">Chance of Admit </t>
  </si>
  <si>
    <t>9.0+</t>
  </si>
  <si>
    <t>8.5–9.0</t>
  </si>
  <si>
    <t>8.0–8.5</t>
  </si>
  <si>
    <t>7.5–8.0</t>
  </si>
  <si>
    <t>CGPA Group</t>
  </si>
  <si>
    <t>Row Labels</t>
  </si>
  <si>
    <t>Grand Total</t>
  </si>
  <si>
    <t>Average of University Rating</t>
  </si>
  <si>
    <t xml:space="preserve">Average of Chance of Admit </t>
  </si>
  <si>
    <t>GRE Range</t>
  </si>
  <si>
    <t>300–310</t>
  </si>
  <si>
    <t>310–320</t>
  </si>
  <si>
    <t>320–330</t>
  </si>
  <si>
    <t>330+</t>
  </si>
  <si>
    <t>LOR Score</t>
  </si>
  <si>
    <t>SOP Score</t>
  </si>
  <si>
    <t>Avg chance of admission</t>
  </si>
  <si>
    <t>hghest chance of adm</t>
  </si>
  <si>
    <t>Avg CGPA</t>
  </si>
  <si>
    <t>Avg GRE</t>
  </si>
  <si>
    <t xml:space="preserve">   </t>
  </si>
  <si>
    <t>UNIVERSITY ADMISSION DASHBOARD</t>
  </si>
  <si>
    <t>Impact of SOP and LOR on Admission Chance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</si>
</sst>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0.0;&quot;-&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
      <b/>
      <sz val="24"/>
      <color theme="0"/>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2" fontId="0" fillId="0" borderId="0" xfId="0" applyNumberFormat="1"/>
    <xf numFmtId="0" fontId="0" fillId="0" borderId="0" xfId="0" pivotButton="1" applyAlignment="1">
      <alignment horizontal="center"/>
    </xf>
    <xf numFmtId="0" fontId="0" fillId="0" borderId="0" xfId="0" applyAlignment="1">
      <alignment horizontal="center"/>
    </xf>
    <xf numFmtId="10" fontId="0" fillId="0" borderId="0" xfId="0" applyNumberFormat="1"/>
    <xf numFmtId="1" fontId="0" fillId="0" borderId="0" xfId="0" applyNumberFormat="1"/>
    <xf numFmtId="165" fontId="0" fillId="0" borderId="0" xfId="0" applyNumberFormat="1" applyAlignment="1">
      <alignment horizontal="center"/>
    </xf>
    <xf numFmtId="0" fontId="20" fillId="0" borderId="0" xfId="0" pivotButton="1" applyFont="1" applyAlignment="1">
      <alignment horizontal="center"/>
    </xf>
    <xf numFmtId="0" fontId="19" fillId="33" borderId="0" xfId="0" applyFont="1" applyFill="1" applyAlignment="1">
      <alignment horizontal="center"/>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0" formatCode="General"/>
    </dxf>
    <dxf>
      <numFmt numFmtId="0" formatCode="General"/>
    </dxf>
    <dxf>
      <numFmt numFmtId="164" formatCode="0.000"/>
    </dxf>
    <dxf>
      <font>
        <sz val="12"/>
      </font>
    </dxf>
    <dxf>
      <numFmt numFmtId="165" formatCode="0.0;\-0.0;&quot;-&quot;;@"/>
    </dxf>
    <dxf>
      <numFmt numFmtId="166" formatCode="0.00;\-0.00;&quot;-&quot;;@"/>
    </dxf>
    <dxf>
      <numFmt numFmtId="166" formatCode="0.00;\-0.00;&quot;-&quot;;@"/>
    </dxf>
    <dxf>
      <numFmt numFmtId="14" formatCode="0.00%"/>
    </dxf>
    <dxf>
      <numFmt numFmtId="14" formatCode="0.00%"/>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164" formatCode="0.000"/>
    </dxf>
    <dxf>
      <numFmt numFmtId="164" formatCode="0.000"/>
    </dxf>
    <dxf>
      <numFmt numFmtId="164" formatCode="0.000"/>
    </dxf>
    <dxf>
      <numFmt numFmtId="2" formatCode="0.00"/>
    </dxf>
  </dxfs>
  <tableStyles count="1" defaultTableStyle="TableStyleMedium2" defaultPivotStyle="PivotStyleLight16">
    <tableStyle name="Slicer Style 1" pivot="0" table="0" count="1" xr9:uid="{272A246A-80DD-42CE-AD6B-4822B3B2A104}"/>
  </tableStyles>
  <colors>
    <mruColors>
      <color rgb="FF08519C"/>
      <color rgb="FF9ECAE1"/>
      <color rgb="FFDEEBF7"/>
    </mruColors>
  </colors>
  <extLst>
    <ext xmlns:x14="http://schemas.microsoft.com/office/spreadsheetml/2009/9/main" uri="{46F421CA-312F-682f-3DD2-61675219B42D}">
      <x14:dxfs count="1">
        <dxf>
          <font>
            <color theme="0"/>
          </font>
          <fill>
            <patternFill patternType="solid">
              <fgColor auto="1"/>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[admission_data_set.xlsx]Avg chance by CGPA grp!PivotTable2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Average chance of </a:t>
            </a:r>
            <a:r>
              <a:rPr lang="en-US" sz="1200" b="0" i="0" u="none" strike="noStrike" baseline="0">
                <a:effectLst/>
              </a:rPr>
              <a:t>admission </a:t>
            </a:r>
            <a:r>
              <a:rPr lang="en-US" sz="1200" b="0" i="0" u="none" strike="noStrike" baseline="0"/>
              <a:t> by CGPA group</a:t>
            </a:r>
            <a:endParaRPr lang="en-US" sz="1200"/>
          </a:p>
        </c:rich>
      </c:tx>
      <c:layout>
        <c:manualLayout>
          <c:xMode val="edge"/>
          <c:yMode val="edge"/>
          <c:x val="0.12375438596491228"/>
          <c:y val="3.20855614973262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chance by CGPA grp'!$B$3</c:f>
              <c:strCache>
                <c:ptCount val="1"/>
                <c:pt idx="0">
                  <c:v>Total</c:v>
                </c:pt>
              </c:strCache>
            </c:strRef>
          </c:tx>
          <c:spPr>
            <a:solidFill>
              <a:schemeClr val="accent1"/>
            </a:solidFill>
            <a:ln>
              <a:noFill/>
            </a:ln>
            <a:effectLst/>
          </c:spPr>
          <c:invertIfNegative val="0"/>
          <c:cat>
            <c:strRef>
              <c:f>'Avg chance by CGPA grp'!$A$4:$A$8</c:f>
              <c:strCache>
                <c:ptCount val="4"/>
                <c:pt idx="0">
                  <c:v>7.5–8.0</c:v>
                </c:pt>
                <c:pt idx="1">
                  <c:v>8.0–8.5</c:v>
                </c:pt>
                <c:pt idx="2">
                  <c:v>8.5–9.0</c:v>
                </c:pt>
                <c:pt idx="3">
                  <c:v>9.0+</c:v>
                </c:pt>
              </c:strCache>
            </c:strRef>
          </c:cat>
          <c:val>
            <c:numRef>
              <c:f>'Avg chance by CGPA grp'!$B$4:$B$8</c:f>
              <c:numCache>
                <c:formatCode>0.00</c:formatCode>
                <c:ptCount val="4"/>
                <c:pt idx="0">
                  <c:v>0.53749999999999998</c:v>
                </c:pt>
                <c:pt idx="1">
                  <c:v>0.65776223776223786</c:v>
                </c:pt>
                <c:pt idx="2">
                  <c:v>0.73775193798449623</c:v>
                </c:pt>
                <c:pt idx="3">
                  <c:v>0.87840277777777809</c:v>
                </c:pt>
              </c:numCache>
            </c:numRef>
          </c:val>
          <c:extLst>
            <c:ext xmlns:c16="http://schemas.microsoft.com/office/drawing/2014/chart" uri="{C3380CC4-5D6E-409C-BE32-E72D297353CC}">
              <c16:uniqueId val="{00000000-2F65-484A-92CE-2FC9E47120FC}"/>
            </c:ext>
          </c:extLst>
        </c:ser>
        <c:dLbls>
          <c:showLegendKey val="0"/>
          <c:showVal val="0"/>
          <c:showCatName val="0"/>
          <c:showSerName val="0"/>
          <c:showPercent val="0"/>
          <c:showBubbleSize val="0"/>
        </c:dLbls>
        <c:gapWidth val="219"/>
        <c:overlap val="-27"/>
        <c:axId val="1578154191"/>
        <c:axId val="1578147951"/>
      </c:barChart>
      <c:catAx>
        <c:axId val="157815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47951"/>
        <c:crosses val="autoZero"/>
        <c:auto val="1"/>
        <c:lblAlgn val="ctr"/>
        <c:lblOffset val="100"/>
        <c:noMultiLvlLbl val="0"/>
      </c:catAx>
      <c:valAx>
        <c:axId val="15781479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5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[admission_data_set.xlsx]University rating effect!PivotTable1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a:t>Rating effect of unversities</a:t>
            </a:r>
            <a:r>
              <a:rPr lang="en-US" sz="1200" b="1" baseline="0"/>
              <a:t> by CGPA</a:t>
            </a:r>
            <a:endParaRPr lang="en-US" sz="1200" b="1"/>
          </a:p>
        </c:rich>
      </c:tx>
      <c:layout>
        <c:manualLayout>
          <c:xMode val="edge"/>
          <c:yMode val="edge"/>
          <c:x val="0.24805555555555561"/>
          <c:y val="4.629629629629629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'University rating effect'!$B$3</c:f>
              <c:strCache>
                <c:ptCount val="1"/>
                <c:pt idx="0">
                  <c:v>Total</c:v>
                </c:pt>
              </c:strCache>
            </c:strRef>
          </c:tx>
          <c:spPr>
            <a:solidFill>
              <a:schemeClr val="accent1"/>
            </a:solidFill>
            <a:ln>
              <a:noFill/>
            </a:ln>
            <a:effectLst/>
            <a:sp3d/>
          </c:spPr>
          <c:invertIfNegative val="0"/>
          <c:cat>
            <c:strRef>
              <c:f>'University rating effect'!$A$4:$A$8</c:f>
              <c:strCache>
                <c:ptCount val="4"/>
                <c:pt idx="0">
                  <c:v>7.5–8.0</c:v>
                </c:pt>
                <c:pt idx="1">
                  <c:v>8.0–8.5</c:v>
                </c:pt>
                <c:pt idx="2">
                  <c:v>8.5–9.0</c:v>
                </c:pt>
                <c:pt idx="3">
                  <c:v>9.0+</c:v>
                </c:pt>
              </c:strCache>
            </c:strRef>
          </c:cat>
          <c:val>
            <c:numRef>
              <c:f>'University rating effect'!$B$4:$B$8</c:f>
              <c:numCache>
                <c:formatCode>0.000</c:formatCode>
                <c:ptCount val="4"/>
                <c:pt idx="0">
                  <c:v>2.1071428571428572</c:v>
                </c:pt>
                <c:pt idx="1">
                  <c:v>2.5664335664335662</c:v>
                </c:pt>
                <c:pt idx="2">
                  <c:v>3.1782945736434107</c:v>
                </c:pt>
                <c:pt idx="3">
                  <c:v>4.1875</c:v>
                </c:pt>
              </c:numCache>
            </c:numRef>
          </c:val>
          <c:extLst>
            <c:ext xmlns:c16="http://schemas.microsoft.com/office/drawing/2014/chart" uri="{C3380CC4-5D6E-409C-BE32-E72D297353CC}">
              <c16:uniqueId val="{00000000-A47B-414A-A12C-E4822201B68B}"/>
            </c:ext>
          </c:extLst>
        </c:ser>
        <c:dLbls>
          <c:showLegendKey val="0"/>
          <c:showVal val="0"/>
          <c:showCatName val="0"/>
          <c:showSerName val="0"/>
          <c:showPercent val="0"/>
          <c:showBubbleSize val="0"/>
        </c:dLbls>
        <c:gapWidth val="150"/>
        <c:shape val="box"/>
        <c:axId val="245874032"/>
        <c:axId val="245874448"/>
        <c:axId val="0"/>
      </c:bar3DChart>
      <c:catAx>
        <c:axId val="24587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74448"/>
        <c:crosses val="autoZero"/>
        <c:auto val="1"/>
        <c:lblAlgn val="ctr"/>
        <c:lblOffset val="100"/>
        <c:noMultiLvlLbl val="0"/>
      </c:catAx>
      <c:valAx>
        <c:axId val="245874448"/>
        <c:scaling>
          <c:orientation val="minMax"/>
        </c:scaling>
        <c:delete val="0"/>
        <c:axPos val="b"/>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7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[admission_data_set.xlsx]Sheet1!PivotTable1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Average</a:t>
            </a:r>
            <a:r>
              <a:rPr lang="en-US" sz="1200" baseline="0"/>
              <a:t> chance of admission by GRE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Sheet1!$A$4:$A$8</c:f>
              <c:strCache>
                <c:ptCount val="4"/>
                <c:pt idx="0">
                  <c:v>300–310</c:v>
                </c:pt>
                <c:pt idx="1">
                  <c:v>310–320</c:v>
                </c:pt>
                <c:pt idx="2">
                  <c:v>320–330</c:v>
                </c:pt>
                <c:pt idx="3">
                  <c:v>330+</c:v>
                </c:pt>
              </c:strCache>
            </c:strRef>
          </c:cat>
          <c:val>
            <c:numRef>
              <c:f>Sheet1!$B$4:$B$8</c:f>
              <c:numCache>
                <c:formatCode>0.000</c:formatCode>
                <c:ptCount val="4"/>
                <c:pt idx="0">
                  <c:v>0.59114093959731562</c:v>
                </c:pt>
                <c:pt idx="1">
                  <c:v>0.69422077922077929</c:v>
                </c:pt>
                <c:pt idx="2">
                  <c:v>0.80858156028368855</c:v>
                </c:pt>
                <c:pt idx="3">
                  <c:v>0.92625000000000013</c:v>
                </c:pt>
              </c:numCache>
            </c:numRef>
          </c:val>
          <c:smooth val="0"/>
          <c:extLst>
            <c:ext xmlns:c16="http://schemas.microsoft.com/office/drawing/2014/chart" uri="{C3380CC4-5D6E-409C-BE32-E72D297353CC}">
              <c16:uniqueId val="{00000000-F6B5-4FB6-A58C-960FE32D0E23}"/>
            </c:ext>
          </c:extLst>
        </c:ser>
        <c:dLbls>
          <c:showLegendKey val="0"/>
          <c:showVal val="0"/>
          <c:showCatName val="0"/>
          <c:showSerName val="0"/>
          <c:showPercent val="0"/>
          <c:showBubbleSize val="0"/>
        </c:dLbls>
        <c:marker val="1"/>
        <c:smooth val="0"/>
        <c:axId val="245873616"/>
        <c:axId val="159374336"/>
      </c:lineChart>
      <c:catAx>
        <c:axId val="24587361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74336"/>
        <c:crosses val="autoZero"/>
        <c:auto val="1"/>
        <c:lblAlgn val="ctr"/>
        <c:lblOffset val="100"/>
        <c:noMultiLvlLbl val="0"/>
      </c:catAx>
      <c:valAx>
        <c:axId val="159374336"/>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7361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[admission_data_set.xlsx]Sheet1!PivotTable1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Effect of GRE Score on Admission Probability</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rgbClr val="002060"/>
            </a:solidFill>
          </a:ln>
          <a:effectLst/>
        </c:spPr>
      </c:pivotFmt>
      <c:pivotFmt>
        <c:idx val="4"/>
        <c:spPr>
          <a:solidFill>
            <a:schemeClr val="accent1"/>
          </a:solidFill>
          <a:ln>
            <a:solidFill>
              <a:srgbClr val="002060"/>
            </a:solidFill>
          </a:ln>
          <a:effectLst/>
        </c:spPr>
      </c:pivotFmt>
    </c:pivotFmts>
    <c:plotArea>
      <c:layout/>
      <c:barChart>
        <c:barDir val="col"/>
        <c:grouping val="stacked"/>
        <c:varyColors val="0"/>
        <c:ser>
          <c:idx val="0"/>
          <c:order val="0"/>
          <c:tx>
            <c:strRef>
              <c:f>Sheet1!$B$3</c:f>
              <c:strCache>
                <c:ptCount val="1"/>
                <c:pt idx="0">
                  <c:v>Total</c:v>
                </c:pt>
              </c:strCache>
            </c:strRef>
          </c:tx>
          <c:spPr>
            <a:solidFill>
              <a:schemeClr val="accent1"/>
            </a:solidFill>
            <a:ln>
              <a:solidFill>
                <a:srgbClr val="002060"/>
              </a:solidFill>
            </a:ln>
            <a:effectLst/>
          </c:spPr>
          <c:invertIfNegative val="0"/>
          <c:cat>
            <c:strRef>
              <c:f>Sheet1!$A$4:$A$8</c:f>
              <c:strCache>
                <c:ptCount val="4"/>
                <c:pt idx="0">
                  <c:v>300–310</c:v>
                </c:pt>
                <c:pt idx="1">
                  <c:v>310–320</c:v>
                </c:pt>
                <c:pt idx="2">
                  <c:v>320–330</c:v>
                </c:pt>
                <c:pt idx="3">
                  <c:v>330+</c:v>
                </c:pt>
              </c:strCache>
            </c:strRef>
          </c:cat>
          <c:val>
            <c:numRef>
              <c:f>Sheet1!$B$4:$B$8</c:f>
              <c:numCache>
                <c:formatCode>0.000</c:formatCode>
                <c:ptCount val="4"/>
                <c:pt idx="0">
                  <c:v>0.59114093959731562</c:v>
                </c:pt>
                <c:pt idx="1">
                  <c:v>0.69422077922077929</c:v>
                </c:pt>
                <c:pt idx="2">
                  <c:v>0.80858156028368855</c:v>
                </c:pt>
                <c:pt idx="3">
                  <c:v>0.92625000000000013</c:v>
                </c:pt>
              </c:numCache>
            </c:numRef>
          </c:val>
          <c:extLst>
            <c:ext xmlns:c16="http://schemas.microsoft.com/office/drawing/2014/chart" uri="{C3380CC4-5D6E-409C-BE32-E72D297353CC}">
              <c16:uniqueId val="{00000000-83A4-4AA9-80D1-DB1A5C76F7F8}"/>
            </c:ext>
          </c:extLst>
        </c:ser>
        <c:dLbls>
          <c:showLegendKey val="0"/>
          <c:showVal val="0"/>
          <c:showCatName val="0"/>
          <c:showSerName val="0"/>
          <c:showPercent val="0"/>
          <c:showBubbleSize val="0"/>
        </c:dLbls>
        <c:gapWidth val="150"/>
        <c:overlap val="100"/>
        <c:axId val="245873616"/>
        <c:axId val="159374336"/>
      </c:barChart>
      <c:catAx>
        <c:axId val="24587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74336"/>
        <c:crossesAt val="0"/>
        <c:auto val="1"/>
        <c:lblAlgn val="ctr"/>
        <c:lblOffset val="100"/>
        <c:noMultiLvlLbl val="0"/>
      </c:catAx>
      <c:valAx>
        <c:axId val="159374336"/>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7361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[admission_data_set.xlsx]University rating effect!PivotTable1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baseline="0"/>
              <a:t>Relationship Between University Rating and CGPA</a:t>
            </a:r>
            <a:endParaRPr lang="en-US" sz="1200" b="1">
              <a:effectLst/>
            </a:endParaRPr>
          </a:p>
        </c:rich>
      </c:tx>
      <c:layout>
        <c:manualLayout>
          <c:xMode val="edge"/>
          <c:yMode val="edge"/>
          <c:x val="0.1322115150728915"/>
          <c:y val="4.629636720324877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'University rating effect'!$B$3</c:f>
              <c:strCache>
                <c:ptCount val="1"/>
                <c:pt idx="0">
                  <c:v>Total</c:v>
                </c:pt>
              </c:strCache>
            </c:strRef>
          </c:tx>
          <c:spPr>
            <a:solidFill>
              <a:schemeClr val="accent1"/>
            </a:solidFill>
            <a:ln>
              <a:noFill/>
            </a:ln>
            <a:effectLst/>
            <a:sp3d/>
          </c:spPr>
          <c:invertIfNegative val="0"/>
          <c:cat>
            <c:strRef>
              <c:f>'University rating effect'!$A$4:$A$8</c:f>
              <c:strCache>
                <c:ptCount val="4"/>
                <c:pt idx="0">
                  <c:v>7.5–8.0</c:v>
                </c:pt>
                <c:pt idx="1">
                  <c:v>8.0–8.5</c:v>
                </c:pt>
                <c:pt idx="2">
                  <c:v>8.5–9.0</c:v>
                </c:pt>
                <c:pt idx="3">
                  <c:v>9.0+</c:v>
                </c:pt>
              </c:strCache>
            </c:strRef>
          </c:cat>
          <c:val>
            <c:numRef>
              <c:f>'University rating effect'!$B$4:$B$8</c:f>
              <c:numCache>
                <c:formatCode>0.000</c:formatCode>
                <c:ptCount val="4"/>
                <c:pt idx="0">
                  <c:v>2.1071428571428572</c:v>
                </c:pt>
                <c:pt idx="1">
                  <c:v>2.5664335664335662</c:v>
                </c:pt>
                <c:pt idx="2">
                  <c:v>3.1782945736434107</c:v>
                </c:pt>
                <c:pt idx="3">
                  <c:v>4.1875</c:v>
                </c:pt>
              </c:numCache>
            </c:numRef>
          </c:val>
          <c:extLst>
            <c:ext xmlns:c16="http://schemas.microsoft.com/office/drawing/2014/chart" uri="{C3380CC4-5D6E-409C-BE32-E72D297353CC}">
              <c16:uniqueId val="{00000000-54AF-486A-851A-0C37038A7A64}"/>
            </c:ext>
          </c:extLst>
        </c:ser>
        <c:dLbls>
          <c:showLegendKey val="0"/>
          <c:showVal val="0"/>
          <c:showCatName val="0"/>
          <c:showSerName val="0"/>
          <c:showPercent val="0"/>
          <c:showBubbleSize val="0"/>
        </c:dLbls>
        <c:gapWidth val="150"/>
        <c:shape val="box"/>
        <c:axId val="245874032"/>
        <c:axId val="245874448"/>
        <c:axId val="0"/>
      </c:bar3DChart>
      <c:catAx>
        <c:axId val="24587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74448"/>
        <c:crosses val="autoZero"/>
        <c:auto val="1"/>
        <c:lblAlgn val="ctr"/>
        <c:lblOffset val="100"/>
        <c:noMultiLvlLbl val="0"/>
      </c:catAx>
      <c:valAx>
        <c:axId val="245874448"/>
        <c:scaling>
          <c:orientation val="minMax"/>
        </c:scaling>
        <c:delete val="0"/>
        <c:axPos val="b"/>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7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[admission_data_set.xlsx]Avg chance by CGPA grp!PivotTable2</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Impact of CGPA on Admission Probability</a:t>
            </a:r>
            <a:endParaRPr lang="en-US" sz="1200" b="1"/>
          </a:p>
        </c:rich>
      </c:tx>
      <c:layout>
        <c:manualLayout>
          <c:xMode val="edge"/>
          <c:yMode val="edge"/>
          <c:x val="0.12375438596491228"/>
          <c:y val="3.208556149732620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'Avg chance by CGPA grp'!$B$3</c:f>
              <c:strCache>
                <c:ptCount val="1"/>
                <c:pt idx="0">
                  <c:v>Total</c:v>
                </c:pt>
              </c:strCache>
            </c:strRef>
          </c:tx>
          <c:spPr>
            <a:solidFill>
              <a:schemeClr val="accent1"/>
            </a:solidFill>
            <a:ln>
              <a:noFill/>
            </a:ln>
            <a:effectLst/>
          </c:spPr>
          <c:invertIfNegative val="0"/>
          <c:cat>
            <c:strRef>
              <c:f>'Avg chance by CGPA grp'!$A$4:$A$8</c:f>
              <c:strCache>
                <c:ptCount val="4"/>
                <c:pt idx="0">
                  <c:v>7.5–8.0</c:v>
                </c:pt>
                <c:pt idx="1">
                  <c:v>8.0–8.5</c:v>
                </c:pt>
                <c:pt idx="2">
                  <c:v>8.5–9.0</c:v>
                </c:pt>
                <c:pt idx="3">
                  <c:v>9.0+</c:v>
                </c:pt>
              </c:strCache>
            </c:strRef>
          </c:cat>
          <c:val>
            <c:numRef>
              <c:f>'Avg chance by CGPA grp'!$B$4:$B$8</c:f>
              <c:numCache>
                <c:formatCode>0.00</c:formatCode>
                <c:ptCount val="4"/>
                <c:pt idx="0">
                  <c:v>0.53749999999999998</c:v>
                </c:pt>
                <c:pt idx="1">
                  <c:v>0.65776223776223786</c:v>
                </c:pt>
                <c:pt idx="2">
                  <c:v>0.73775193798449623</c:v>
                </c:pt>
                <c:pt idx="3">
                  <c:v>0.87840277777777809</c:v>
                </c:pt>
              </c:numCache>
            </c:numRef>
          </c:val>
          <c:extLst>
            <c:ext xmlns:c16="http://schemas.microsoft.com/office/drawing/2014/chart" uri="{C3380CC4-5D6E-409C-BE32-E72D297353CC}">
              <c16:uniqueId val="{00000000-FAC0-442E-8FCD-1270AB8E6739}"/>
            </c:ext>
          </c:extLst>
        </c:ser>
        <c:dLbls>
          <c:showLegendKey val="0"/>
          <c:showVal val="0"/>
          <c:showCatName val="0"/>
          <c:showSerName val="0"/>
          <c:showPercent val="0"/>
          <c:showBubbleSize val="0"/>
        </c:dLbls>
        <c:gapWidth val="219"/>
        <c:overlap val="-27"/>
        <c:axId val="1578154191"/>
        <c:axId val="1578147951"/>
      </c:barChart>
      <c:catAx>
        <c:axId val="157815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47951"/>
        <c:crosses val="autoZero"/>
        <c:auto val="1"/>
        <c:lblAlgn val="ctr"/>
        <c:lblOffset val="100"/>
        <c:noMultiLvlLbl val="0"/>
      </c:catAx>
      <c:valAx>
        <c:axId val="1578147951"/>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57815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[admission_data_set.xlsx]Sheet3!PivotTable1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Role of Research Experience in Admissions</a:t>
            </a:r>
            <a:endParaRPr lang="en-US" sz="1200"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F1B6-47A0-8AC0-F4A338B51B42}"/>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F1B6-47A0-8AC0-F4A338B51B42}"/>
              </c:ext>
            </c:extLst>
          </c:dPt>
          <c:cat>
            <c:strRef>
              <c:f>Sheet3!$A$4:$A$6</c:f>
              <c:strCache>
                <c:ptCount val="2"/>
                <c:pt idx="0">
                  <c:v>0</c:v>
                </c:pt>
                <c:pt idx="1">
                  <c:v>1</c:v>
                </c:pt>
              </c:strCache>
            </c:strRef>
          </c:cat>
          <c:val>
            <c:numRef>
              <c:f>Sheet3!$B$4:$B$6</c:f>
              <c:numCache>
                <c:formatCode>0.000</c:formatCode>
                <c:ptCount val="2"/>
                <c:pt idx="0">
                  <c:v>0.63490909090909053</c:v>
                </c:pt>
                <c:pt idx="1">
                  <c:v>0.78996428571428567</c:v>
                </c:pt>
              </c:numCache>
            </c:numRef>
          </c:val>
          <c:extLst>
            <c:ext xmlns:c16="http://schemas.microsoft.com/office/drawing/2014/chart" uri="{C3380CC4-5D6E-409C-BE32-E72D297353CC}">
              <c16:uniqueId val="{00000004-F1B6-47A0-8AC0-F4A338B51B42}"/>
            </c:ext>
          </c:extLst>
        </c:ser>
        <c:dLbls>
          <c:showLegendKey val="0"/>
          <c:showVal val="0"/>
          <c:showCatName val="0"/>
          <c:showSerName val="0"/>
          <c:showPercent val="0"/>
          <c:showBubbleSize val="0"/>
        </c:dLbls>
        <c:gapWidth val="100"/>
        <c:axId val="649861376"/>
        <c:axId val="649871776"/>
      </c:barChart>
      <c:valAx>
        <c:axId val="649871776"/>
        <c:scaling>
          <c:orientation val="minMax"/>
        </c:scaling>
        <c:delete val="0"/>
        <c:axPos val="b"/>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61376"/>
        <c:crosses val="autoZero"/>
        <c:crossBetween val="between"/>
      </c:valAx>
      <c:catAx>
        <c:axId val="6498613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7177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[admission_data_set.xlsx]Sheet3!PivotTable1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baseline="0">
                <a:effectLst/>
              </a:rPr>
              <a:t>Role of Research Experience in Admissions</a:t>
            </a:r>
            <a:endParaRPr lang="en-US" sz="12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EE56-4FE4-8C8A-88218E8ECE53}"/>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EE56-4FE4-8C8A-88218E8ECE53}"/>
              </c:ext>
            </c:extLst>
          </c:dPt>
          <c:cat>
            <c:strRef>
              <c:f>Sheet3!$A$4:$A$6</c:f>
              <c:strCache>
                <c:ptCount val="2"/>
                <c:pt idx="0">
                  <c:v>0</c:v>
                </c:pt>
                <c:pt idx="1">
                  <c:v>1</c:v>
                </c:pt>
              </c:strCache>
            </c:strRef>
          </c:cat>
          <c:val>
            <c:numRef>
              <c:f>Sheet3!$B$4:$B$6</c:f>
              <c:numCache>
                <c:formatCode>0.000</c:formatCode>
                <c:ptCount val="2"/>
                <c:pt idx="0">
                  <c:v>0.63490909090909053</c:v>
                </c:pt>
                <c:pt idx="1">
                  <c:v>0.78996428571428567</c:v>
                </c:pt>
              </c:numCache>
            </c:numRef>
          </c:val>
          <c:extLst>
            <c:ext xmlns:c16="http://schemas.microsoft.com/office/drawing/2014/chart" uri="{C3380CC4-5D6E-409C-BE32-E72D297353CC}">
              <c16:uniqueId val="{00000000-AA44-48A2-BBB7-0ADD8CC44BB1}"/>
            </c:ext>
          </c:extLst>
        </c:ser>
        <c:dLbls>
          <c:showLegendKey val="0"/>
          <c:showVal val="0"/>
          <c:showCatName val="0"/>
          <c:showSerName val="0"/>
          <c:showPercent val="0"/>
          <c:showBubbleSize val="0"/>
        </c:dLbls>
        <c:gapWidth val="100"/>
        <c:axId val="1199992655"/>
        <c:axId val="1199993487"/>
      </c:barChart>
      <c:valAx>
        <c:axId val="1199993487"/>
        <c:scaling>
          <c:orientation val="minMax"/>
        </c:scaling>
        <c:delete val="0"/>
        <c:axPos val="b"/>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992655"/>
        <c:crosses val="autoZero"/>
        <c:crossBetween val="between"/>
      </c:valAx>
      <c:catAx>
        <c:axId val="11999926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99348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emf"/><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4</xdr:col>
      <xdr:colOff>101600</xdr:colOff>
      <xdr:row>2</xdr:row>
      <xdr:rowOff>165100</xdr:rowOff>
    </xdr:from>
    <xdr:to>
      <xdr:col>10</xdr:col>
      <xdr:colOff>63500</xdr:colOff>
      <xdr:row>15</xdr:row>
      <xdr:rowOff>146050</xdr:rowOff>
    </xdr:to>
    <xdr:graphicFrame macro="">
      <xdr:nvGraphicFramePr>
        <xdr:cNvPr id="2" name="Chart 1">
          <a:extLst>
            <a:ext uri="{FF2B5EF4-FFF2-40B4-BE49-F238E27FC236}">
              <a16:creationId xmlns:a16="http://schemas.microsoft.com/office/drawing/2014/main" id="{EF4585CF-7F7A-40DB-BC79-BF07EDEBF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0</xdr:row>
      <xdr:rowOff>88900</xdr:rowOff>
    </xdr:from>
    <xdr:to>
      <xdr:col>10</xdr:col>
      <xdr:colOff>457200</xdr:colOff>
      <xdr:row>15</xdr:row>
      <xdr:rowOff>69850</xdr:rowOff>
    </xdr:to>
    <xdr:graphicFrame macro="">
      <xdr:nvGraphicFramePr>
        <xdr:cNvPr id="2" name="Chart 1">
          <a:extLst>
            <a:ext uri="{FF2B5EF4-FFF2-40B4-BE49-F238E27FC236}">
              <a16:creationId xmlns:a16="http://schemas.microsoft.com/office/drawing/2014/main" id="{92FF53F6-5070-4E5A-8A95-CA1AD4CAC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xdr:colOff>
      <xdr:row>1</xdr:row>
      <xdr:rowOff>82550</xdr:rowOff>
    </xdr:from>
    <xdr:to>
      <xdr:col>10</xdr:col>
      <xdr:colOff>361950</xdr:colOff>
      <xdr:row>16</xdr:row>
      <xdr:rowOff>63500</xdr:rowOff>
    </xdr:to>
    <xdr:graphicFrame macro="">
      <xdr:nvGraphicFramePr>
        <xdr:cNvPr id="2" name="Chart 1">
          <a:extLst>
            <a:ext uri="{FF2B5EF4-FFF2-40B4-BE49-F238E27FC236}">
              <a16:creationId xmlns:a16="http://schemas.microsoft.com/office/drawing/2014/main" id="{913AD52D-FCB8-4678-80BE-A36E02B7D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459994</xdr:colOff>
          <xdr:row>22</xdr:row>
          <xdr:rowOff>24423</xdr:rowOff>
        </xdr:from>
        <xdr:to>
          <xdr:col>21</xdr:col>
          <xdr:colOff>20371</xdr:colOff>
          <xdr:row>36</xdr:row>
          <xdr:rowOff>102672</xdr:rowOff>
        </xdr:to>
        <xdr:pic>
          <xdr:nvPicPr>
            <xdr:cNvPr id="3" name="Picture 2">
              <a:extLst>
                <a:ext uri="{FF2B5EF4-FFF2-40B4-BE49-F238E27FC236}">
                  <a16:creationId xmlns:a16="http://schemas.microsoft.com/office/drawing/2014/main" id="{4EF30FF1-CF62-4119-BBBF-24752E71E61F}"/>
                </a:ext>
              </a:extLst>
            </xdr:cNvPr>
            <xdr:cNvPicPr>
              <a:picLocks noChangeAspect="1" noChangeArrowheads="1"/>
              <a:extLst>
                <a:ext uri="{84589F7E-364E-4C9E-8A38-B11213B215E9}">
                  <a14:cameraTool cellRange="Sheet2!$A$3:$J$13" spid="_x0000_s7273"/>
                </a:ext>
              </a:extLst>
            </xdr:cNvPicPr>
          </xdr:nvPicPr>
          <xdr:blipFill>
            <a:blip xmlns:r="http://schemas.openxmlformats.org/officeDocument/2006/relationships" r:embed="rId1"/>
            <a:srcRect/>
            <a:stretch>
              <a:fillRect/>
            </a:stretch>
          </xdr:blipFill>
          <xdr:spPr bwMode="auto">
            <a:xfrm>
              <a:off x="7176340" y="4054231"/>
              <a:ext cx="5666146" cy="2642672"/>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3</xdr:col>
      <xdr:colOff>246836</xdr:colOff>
      <xdr:row>6</xdr:row>
      <xdr:rowOff>152887</xdr:rowOff>
    </xdr:from>
    <xdr:to>
      <xdr:col>8</xdr:col>
      <xdr:colOff>356903</xdr:colOff>
      <xdr:row>20</xdr:row>
      <xdr:rowOff>65368</xdr:rowOff>
    </xdr:to>
    <xdr:graphicFrame macro="">
      <xdr:nvGraphicFramePr>
        <xdr:cNvPr id="5" name="Chart 4">
          <a:extLst>
            <a:ext uri="{FF2B5EF4-FFF2-40B4-BE49-F238E27FC236}">
              <a16:creationId xmlns:a16="http://schemas.microsoft.com/office/drawing/2014/main" id="{EE75AAEE-C67E-49A2-BB48-97E915AA4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268949</xdr:colOff>
      <xdr:row>22</xdr:row>
      <xdr:rowOff>24423</xdr:rowOff>
    </xdr:from>
    <xdr:to>
      <xdr:col>11</xdr:col>
      <xdr:colOff>294513</xdr:colOff>
      <xdr:row>36</xdr:row>
      <xdr:rowOff>114909</xdr:rowOff>
    </xdr:to>
    <xdr:graphicFrame macro="">
      <xdr:nvGraphicFramePr>
        <xdr:cNvPr id="6" name="Chart 5">
          <a:extLst>
            <a:ext uri="{FF2B5EF4-FFF2-40B4-BE49-F238E27FC236}">
              <a16:creationId xmlns:a16="http://schemas.microsoft.com/office/drawing/2014/main" id="{B02789A5-270F-45B2-8A74-407F2B49D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4233</xdr:colOff>
      <xdr:row>7</xdr:row>
      <xdr:rowOff>8466</xdr:rowOff>
    </xdr:from>
    <xdr:to>
      <xdr:col>21</xdr:col>
      <xdr:colOff>16933</xdr:colOff>
      <xdr:row>20</xdr:row>
      <xdr:rowOff>93382</xdr:rowOff>
    </xdr:to>
    <xdr:graphicFrame macro="">
      <xdr:nvGraphicFramePr>
        <xdr:cNvPr id="7" name="Chart 6">
          <a:extLst>
            <a:ext uri="{FF2B5EF4-FFF2-40B4-BE49-F238E27FC236}">
              <a16:creationId xmlns:a16="http://schemas.microsoft.com/office/drawing/2014/main" id="{04A0AF99-C97F-4D51-8528-167D7429C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452641</xdr:colOff>
      <xdr:row>7</xdr:row>
      <xdr:rowOff>606</xdr:rowOff>
    </xdr:from>
    <xdr:to>
      <xdr:col>14</xdr:col>
      <xdr:colOff>299264</xdr:colOff>
      <xdr:row>20</xdr:row>
      <xdr:rowOff>84044</xdr:rowOff>
    </xdr:to>
    <xdr:graphicFrame macro="">
      <xdr:nvGraphicFramePr>
        <xdr:cNvPr id="8" name="Chart 7">
          <a:extLst>
            <a:ext uri="{FF2B5EF4-FFF2-40B4-BE49-F238E27FC236}">
              <a16:creationId xmlns:a16="http://schemas.microsoft.com/office/drawing/2014/main" id="{46EA9FC6-F24B-4072-883C-9134AE658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135467</xdr:colOff>
      <xdr:row>7</xdr:row>
      <xdr:rowOff>16932</xdr:rowOff>
    </xdr:from>
    <xdr:to>
      <xdr:col>3</xdr:col>
      <xdr:colOff>48846</xdr:colOff>
      <xdr:row>14</xdr:row>
      <xdr:rowOff>118533</xdr:rowOff>
    </xdr:to>
    <mc:AlternateContent xmlns:mc="http://schemas.openxmlformats.org/markup-compatibility/2006" xmlns:a14="http://schemas.microsoft.com/office/drawing/2010/main">
      <mc:Choice Requires="a14">
        <xdr:graphicFrame macro="">
          <xdr:nvGraphicFramePr>
            <xdr:cNvPr id="10" name="GRE Range">
              <a:extLst>
                <a:ext uri="{FF2B5EF4-FFF2-40B4-BE49-F238E27FC236}">
                  <a16:creationId xmlns:a16="http://schemas.microsoft.com/office/drawing/2014/main" id="{38C3CF8F-455E-49E5-ABF1-04DC47258BAC}"/>
                </a:ext>
              </a:extLst>
            </xdr:cNvPr>
            <xdr:cNvGraphicFramePr/>
          </xdr:nvGraphicFramePr>
          <xdr:xfrm>
            <a:off x="0" y="0"/>
            <a:ext cx="0" cy="0"/>
          </xdr:xfrm>
          <a:graphic>
            <a:graphicData uri="http://schemas.microsoft.com/office/drawing/2010/slicer">
              <sle:slicer xmlns:sle="http://schemas.microsoft.com/office/drawing/2010/slicer" name="GRE Range"/>
            </a:graphicData>
          </a:graphic>
        </xdr:graphicFrame>
      </mc:Choice>
      <mc:Fallback xmlns="">
        <xdr:sp macro="" textlink="">
          <xdr:nvSpPr>
            <xdr:cNvPr id="0" name=""/>
            <xdr:cNvSpPr>
              <a:spLocks noTextEdit="1"/>
            </xdr:cNvSpPr>
          </xdr:nvSpPr>
          <xdr:spPr>
            <a:xfrm>
              <a:off x="135467" y="1297695"/>
              <a:ext cx="1753803" cy="1382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204486</xdr:colOff>
      <xdr:row>29</xdr:row>
      <xdr:rowOff>46482</xdr:rowOff>
    </xdr:from>
    <xdr:to>
      <xdr:col>3</xdr:col>
      <xdr:colOff>54042</xdr:colOff>
      <xdr:row>36</xdr:row>
      <xdr:rowOff>126017</xdr:rowOff>
    </xdr:to>
    <mc:AlternateContent xmlns:mc="http://schemas.openxmlformats.org/markup-compatibility/2006" xmlns:a14="http://schemas.microsoft.com/office/drawing/2010/main">
      <mc:Choice Requires="a14">
        <xdr:graphicFrame macro="">
          <xdr:nvGraphicFramePr>
            <xdr:cNvPr id="15" name="CGPA Group">
              <a:extLst>
                <a:ext uri="{FF2B5EF4-FFF2-40B4-BE49-F238E27FC236}">
                  <a16:creationId xmlns:a16="http://schemas.microsoft.com/office/drawing/2014/main" id="{E7B9F827-9A7E-46AE-9B9C-B20441176457}"/>
                </a:ext>
              </a:extLst>
            </xdr:cNvPr>
            <xdr:cNvGraphicFramePr/>
          </xdr:nvGraphicFramePr>
          <xdr:xfrm>
            <a:off x="0" y="0"/>
            <a:ext cx="0" cy="0"/>
          </xdr:xfrm>
          <a:graphic>
            <a:graphicData uri="http://schemas.microsoft.com/office/drawing/2010/slicer">
              <sle:slicer xmlns:sle="http://schemas.microsoft.com/office/drawing/2010/slicer" name="CGPA Group"/>
            </a:graphicData>
          </a:graphic>
        </xdr:graphicFrame>
      </mc:Choice>
      <mc:Fallback xmlns="">
        <xdr:sp macro="" textlink="">
          <xdr:nvSpPr>
            <xdr:cNvPr id="0" name=""/>
            <xdr:cNvSpPr>
              <a:spLocks noTextEdit="1"/>
            </xdr:cNvSpPr>
          </xdr:nvSpPr>
          <xdr:spPr>
            <a:xfrm>
              <a:off x="204486" y="5531801"/>
              <a:ext cx="1673492" cy="1403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189509</xdr:colOff>
      <xdr:row>19</xdr:row>
      <xdr:rowOff>176195</xdr:rowOff>
    </xdr:from>
    <xdr:to>
      <xdr:col>3</xdr:col>
      <xdr:colOff>48845</xdr:colOff>
      <xdr:row>24</xdr:row>
      <xdr:rowOff>115751</xdr:rowOff>
    </xdr:to>
    <mc:AlternateContent xmlns:mc="http://schemas.openxmlformats.org/markup-compatibility/2006" xmlns:a14="http://schemas.microsoft.com/office/drawing/2010/main">
      <mc:Choice Requires="a14">
        <xdr:graphicFrame macro="">
          <xdr:nvGraphicFramePr>
            <xdr:cNvPr id="16" name="Research">
              <a:extLst>
                <a:ext uri="{FF2B5EF4-FFF2-40B4-BE49-F238E27FC236}">
                  <a16:creationId xmlns:a16="http://schemas.microsoft.com/office/drawing/2014/main" id="{DDDCCF57-9D20-45AA-8F3D-A5D933BA2EAC}"/>
                </a:ext>
              </a:extLst>
            </xdr:cNvPr>
            <xdr:cNvGraphicFramePr/>
          </xdr:nvGraphicFramePr>
          <xdr:xfrm>
            <a:off x="0" y="0"/>
            <a:ext cx="0" cy="0"/>
          </xdr:xfrm>
          <a:graphic>
            <a:graphicData uri="http://schemas.microsoft.com/office/drawing/2010/slicer">
              <sle:slicer xmlns:sle="http://schemas.microsoft.com/office/drawing/2010/slicer" name="Research"/>
            </a:graphicData>
          </a:graphic>
        </xdr:graphicFrame>
      </mc:Choice>
      <mc:Fallback xmlns="">
        <xdr:sp macro="" textlink="">
          <xdr:nvSpPr>
            <xdr:cNvPr id="0" name=""/>
            <xdr:cNvSpPr>
              <a:spLocks noTextEdit="1"/>
            </xdr:cNvSpPr>
          </xdr:nvSpPr>
          <xdr:spPr>
            <a:xfrm>
              <a:off x="189509" y="3770025"/>
              <a:ext cx="1683272" cy="885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110067</xdr:colOff>
      <xdr:row>2</xdr:row>
      <xdr:rowOff>127001</xdr:rowOff>
    </xdr:from>
    <xdr:to>
      <xdr:col>4</xdr:col>
      <xdr:colOff>152400</xdr:colOff>
      <xdr:row>6</xdr:row>
      <xdr:rowOff>93135</xdr:rowOff>
    </xdr:to>
    <xdr:sp macro="" textlink="Sheet3!B10">
      <xdr:nvSpPr>
        <xdr:cNvPr id="19" name="Rectangle: Rounded Corners 18">
          <a:extLst>
            <a:ext uri="{FF2B5EF4-FFF2-40B4-BE49-F238E27FC236}">
              <a16:creationId xmlns:a16="http://schemas.microsoft.com/office/drawing/2014/main" id="{CB504680-EEAA-478B-BF22-E8EF5D3A1240}"/>
            </a:ext>
          </a:extLst>
        </xdr:cNvPr>
        <xdr:cNvSpPr/>
      </xdr:nvSpPr>
      <xdr:spPr>
        <a:xfrm>
          <a:off x="110067" y="499534"/>
          <a:ext cx="2480733" cy="711201"/>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2800" b="0" i="0" u="none" strike="noStrike">
              <a:solidFill>
                <a:schemeClr val="bg1"/>
              </a:solidFill>
              <a:latin typeface="Calibri"/>
              <a:ea typeface="Calibri"/>
              <a:cs typeface="Calibri"/>
            </a:rPr>
            <a:t>       </a:t>
          </a:r>
          <a:fld id="{981CE762-26AE-4884-B9C7-287877F7CB22}" type="TxLink">
            <a:rPr lang="en-US" sz="2800" b="0" i="0" u="none" strike="noStrike">
              <a:solidFill>
                <a:schemeClr val="bg1"/>
              </a:solidFill>
              <a:latin typeface="Calibri"/>
              <a:ea typeface="Calibri"/>
              <a:cs typeface="Calibri"/>
            </a:rPr>
            <a:pPr marL="0" indent="0" algn="l"/>
            <a:t>72.17%</a:t>
          </a:fld>
          <a:endParaRPr lang="en-US" sz="2800" b="0" i="0" u="none" strike="noStrike">
            <a:solidFill>
              <a:schemeClr val="bg1"/>
            </a:solidFill>
            <a:latin typeface="Calibri"/>
            <a:ea typeface="Calibri"/>
            <a:cs typeface="Calibri"/>
          </a:endParaRPr>
        </a:p>
      </xdr:txBody>
    </xdr:sp>
    <xdr:clientData/>
  </xdr:twoCellAnchor>
  <xdr:twoCellAnchor>
    <xdr:from>
      <xdr:col>5</xdr:col>
      <xdr:colOff>461000</xdr:colOff>
      <xdr:row>2</xdr:row>
      <xdr:rowOff>101600</xdr:rowOff>
    </xdr:from>
    <xdr:to>
      <xdr:col>9</xdr:col>
      <xdr:colOff>503333</xdr:colOff>
      <xdr:row>6</xdr:row>
      <xdr:rowOff>67734</xdr:rowOff>
    </xdr:to>
    <xdr:sp macro="" textlink="Sheet3!B11">
      <xdr:nvSpPr>
        <xdr:cNvPr id="23" name="Rectangle: Rounded Corners 22">
          <a:extLst>
            <a:ext uri="{FF2B5EF4-FFF2-40B4-BE49-F238E27FC236}">
              <a16:creationId xmlns:a16="http://schemas.microsoft.com/office/drawing/2014/main" id="{FC83C6E3-5054-45E6-83AC-4E62564EBC79}"/>
            </a:ext>
          </a:extLst>
        </xdr:cNvPr>
        <xdr:cNvSpPr/>
      </xdr:nvSpPr>
      <xdr:spPr>
        <a:xfrm>
          <a:off x="3513885" y="467946"/>
          <a:ext cx="2484640" cy="698826"/>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2800" b="0" i="0" u="none" strike="noStrike">
              <a:solidFill>
                <a:schemeClr val="bg1"/>
              </a:solidFill>
              <a:latin typeface="Calibri"/>
              <a:ea typeface="Calibri"/>
              <a:cs typeface="Calibri"/>
            </a:rPr>
            <a:t>       </a:t>
          </a:r>
          <a:fld id="{5820B023-0A3C-4CB5-BD96-B6AA5EC5C0BA}" type="TxLink">
            <a:rPr lang="en-US" sz="2800" b="0" i="0" u="none" strike="noStrike">
              <a:solidFill>
                <a:schemeClr val="bg1"/>
              </a:solidFill>
              <a:latin typeface="Calibri"/>
              <a:ea typeface="Calibri"/>
              <a:cs typeface="Calibri"/>
            </a:rPr>
            <a:pPr marL="0" indent="0" algn="l"/>
            <a:t>97.00%</a:t>
          </a:fld>
          <a:r>
            <a:rPr lang="en-US" sz="2800" b="0" i="0" u="none" strike="noStrike">
              <a:solidFill>
                <a:schemeClr val="bg1"/>
              </a:solidFill>
              <a:latin typeface="Calibri"/>
              <a:ea typeface="Calibri"/>
              <a:cs typeface="Calibri"/>
            </a:rPr>
            <a:t>   </a:t>
          </a:r>
        </a:p>
      </xdr:txBody>
    </xdr:sp>
    <xdr:clientData/>
  </xdr:twoCellAnchor>
  <xdr:twoCellAnchor>
    <xdr:from>
      <xdr:col>11</xdr:col>
      <xdr:colOff>201356</xdr:colOff>
      <xdr:row>2</xdr:row>
      <xdr:rowOff>110066</xdr:rowOff>
    </xdr:from>
    <xdr:to>
      <xdr:col>15</xdr:col>
      <xdr:colOff>243689</xdr:colOff>
      <xdr:row>6</xdr:row>
      <xdr:rowOff>76200</xdr:rowOff>
    </xdr:to>
    <xdr:sp macro="" textlink="Sheet3!B12">
      <xdr:nvSpPr>
        <xdr:cNvPr id="24" name="Rectangle: Rounded Corners 23">
          <a:extLst>
            <a:ext uri="{FF2B5EF4-FFF2-40B4-BE49-F238E27FC236}">
              <a16:creationId xmlns:a16="http://schemas.microsoft.com/office/drawing/2014/main" id="{CAD0CB07-92A7-4DB5-9A2C-A3A908854AE2}"/>
            </a:ext>
          </a:extLst>
        </xdr:cNvPr>
        <xdr:cNvSpPr/>
      </xdr:nvSpPr>
      <xdr:spPr>
        <a:xfrm>
          <a:off x="6949576" y="475998"/>
          <a:ext cx="2496232" cy="697999"/>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2800" b="0" i="0" u="none" strike="noStrike">
              <a:solidFill>
                <a:schemeClr val="bg1"/>
              </a:solidFill>
              <a:latin typeface="Calibri"/>
              <a:ea typeface="Calibri"/>
              <a:cs typeface="Calibri"/>
            </a:rPr>
            <a:t>         </a:t>
          </a:r>
          <a:fld id="{33AA2132-2A2A-4DC7-9129-FE092FD963E9}" type="TxLink">
            <a:rPr lang="en-US" sz="2800" b="0" i="0" u="none" strike="noStrike">
              <a:solidFill>
                <a:schemeClr val="bg1"/>
              </a:solidFill>
              <a:latin typeface="Calibri"/>
              <a:ea typeface="Calibri"/>
              <a:cs typeface="Calibri"/>
            </a:rPr>
            <a:pPr marL="0" indent="0" algn="l"/>
            <a:t>8.58</a:t>
          </a:fld>
          <a:endParaRPr lang="en-US" sz="2800" b="0" i="0" u="none" strike="noStrike">
            <a:solidFill>
              <a:schemeClr val="bg1"/>
            </a:solidFill>
            <a:latin typeface="Calibri"/>
            <a:ea typeface="Calibri"/>
            <a:cs typeface="Calibri"/>
          </a:endParaRPr>
        </a:p>
      </xdr:txBody>
    </xdr:sp>
    <xdr:clientData/>
  </xdr:twoCellAnchor>
  <xdr:twoCellAnchor>
    <xdr:from>
      <xdr:col>16</xdr:col>
      <xdr:colOff>552288</xdr:colOff>
      <xdr:row>2</xdr:row>
      <xdr:rowOff>89389</xdr:rowOff>
    </xdr:from>
    <xdr:to>
      <xdr:col>20</xdr:col>
      <xdr:colOff>595598</xdr:colOff>
      <xdr:row>6</xdr:row>
      <xdr:rowOff>55523</xdr:rowOff>
    </xdr:to>
    <xdr:sp macro="" textlink="Sheet3!B13">
      <xdr:nvSpPr>
        <xdr:cNvPr id="25" name="Rectangle: Rounded Corners 24">
          <a:extLst>
            <a:ext uri="{FF2B5EF4-FFF2-40B4-BE49-F238E27FC236}">
              <a16:creationId xmlns:a16="http://schemas.microsoft.com/office/drawing/2014/main" id="{5DBC71AC-43E6-4F43-9CD2-AD9D919909C1}"/>
            </a:ext>
          </a:extLst>
        </xdr:cNvPr>
        <xdr:cNvSpPr/>
      </xdr:nvSpPr>
      <xdr:spPr>
        <a:xfrm>
          <a:off x="10321519" y="455735"/>
          <a:ext cx="2485617" cy="698826"/>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2800" b="0" i="0" u="none" strike="noStrike">
              <a:solidFill>
                <a:schemeClr val="bg1"/>
              </a:solidFill>
              <a:latin typeface="Calibri"/>
              <a:ea typeface="Calibri"/>
              <a:cs typeface="Calibri"/>
            </a:rPr>
            <a:t>          </a:t>
          </a:r>
          <a:fld id="{5FAA578A-58BA-4849-B75F-084CE0D37991}" type="TxLink">
            <a:rPr lang="en-US" sz="2800" b="0" i="0" u="none" strike="noStrike">
              <a:solidFill>
                <a:schemeClr val="bg1"/>
              </a:solidFill>
              <a:latin typeface="Calibri"/>
              <a:ea typeface="Calibri"/>
              <a:cs typeface="Calibri"/>
            </a:rPr>
            <a:pPr marL="0" indent="0" algn="l"/>
            <a:t>316</a:t>
          </a:fld>
          <a:endParaRPr lang="en-US" sz="2800" b="0" i="0" u="none" strike="noStrike">
            <a:solidFill>
              <a:schemeClr val="bg1"/>
            </a:solidFill>
            <a:latin typeface="Calibri"/>
            <a:ea typeface="Calibri"/>
            <a:cs typeface="Calibri"/>
          </a:endParaRPr>
        </a:p>
      </xdr:txBody>
    </xdr:sp>
    <xdr:clientData/>
  </xdr:twoCellAnchor>
  <xdr:twoCellAnchor>
    <xdr:from>
      <xdr:col>0</xdr:col>
      <xdr:colOff>177800</xdr:colOff>
      <xdr:row>2</xdr:row>
      <xdr:rowOff>76201</xdr:rowOff>
    </xdr:from>
    <xdr:to>
      <xdr:col>4</xdr:col>
      <xdr:colOff>50800</xdr:colOff>
      <xdr:row>3</xdr:row>
      <xdr:rowOff>143934</xdr:rowOff>
    </xdr:to>
    <xdr:sp macro="" textlink="">
      <xdr:nvSpPr>
        <xdr:cNvPr id="26" name="TextBox 25">
          <a:extLst>
            <a:ext uri="{FF2B5EF4-FFF2-40B4-BE49-F238E27FC236}">
              <a16:creationId xmlns:a16="http://schemas.microsoft.com/office/drawing/2014/main" id="{07547862-2254-4ADA-BB5A-49EFD8882651}"/>
            </a:ext>
          </a:extLst>
        </xdr:cNvPr>
        <xdr:cNvSpPr txBox="1"/>
      </xdr:nvSpPr>
      <xdr:spPr>
        <a:xfrm>
          <a:off x="177800" y="448734"/>
          <a:ext cx="2311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j-lt"/>
            </a:rPr>
            <a:t>Avg admission chance</a:t>
          </a:r>
        </a:p>
      </xdr:txBody>
    </xdr:sp>
    <xdr:clientData/>
  </xdr:twoCellAnchor>
  <xdr:twoCellAnchor>
    <xdr:from>
      <xdr:col>5</xdr:col>
      <xdr:colOff>397932</xdr:colOff>
      <xdr:row>2</xdr:row>
      <xdr:rowOff>67730</xdr:rowOff>
    </xdr:from>
    <xdr:to>
      <xdr:col>9</xdr:col>
      <xdr:colOff>516610</xdr:colOff>
      <xdr:row>4</xdr:row>
      <xdr:rowOff>53813</xdr:rowOff>
    </xdr:to>
    <xdr:sp macro="" textlink="">
      <xdr:nvSpPr>
        <xdr:cNvPr id="27" name="TextBox 26">
          <a:extLst>
            <a:ext uri="{FF2B5EF4-FFF2-40B4-BE49-F238E27FC236}">
              <a16:creationId xmlns:a16="http://schemas.microsoft.com/office/drawing/2014/main" id="{BDCA2C58-44D0-4139-AD42-606B13D0C8C7}"/>
            </a:ext>
          </a:extLst>
        </xdr:cNvPr>
        <xdr:cNvSpPr txBox="1"/>
      </xdr:nvSpPr>
      <xdr:spPr>
        <a:xfrm>
          <a:off x="3465305" y="433662"/>
          <a:ext cx="2572576" cy="352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j-lt"/>
            </a:rPr>
            <a:t>Highest</a:t>
          </a:r>
          <a:r>
            <a:rPr lang="en-US" sz="1200" b="1" baseline="0">
              <a:solidFill>
                <a:schemeClr val="bg1"/>
              </a:solidFill>
              <a:latin typeface="+mj-lt"/>
            </a:rPr>
            <a:t> </a:t>
          </a:r>
          <a:r>
            <a:rPr lang="en-US" sz="1200" b="1">
              <a:solidFill>
                <a:schemeClr val="bg1"/>
              </a:solidFill>
              <a:latin typeface="+mj-lt"/>
            </a:rPr>
            <a:t>chance of admission</a:t>
          </a:r>
        </a:p>
      </xdr:txBody>
    </xdr:sp>
    <xdr:clientData/>
  </xdr:twoCellAnchor>
  <xdr:twoCellAnchor>
    <xdr:from>
      <xdr:col>11</xdr:col>
      <xdr:colOff>189903</xdr:colOff>
      <xdr:row>2</xdr:row>
      <xdr:rowOff>56971</xdr:rowOff>
    </xdr:from>
    <xdr:to>
      <xdr:col>15</xdr:col>
      <xdr:colOff>62902</xdr:colOff>
      <xdr:row>3</xdr:row>
      <xdr:rowOff>99304</xdr:rowOff>
    </xdr:to>
    <xdr:sp macro="" textlink="">
      <xdr:nvSpPr>
        <xdr:cNvPr id="28" name="TextBox 27">
          <a:extLst>
            <a:ext uri="{FF2B5EF4-FFF2-40B4-BE49-F238E27FC236}">
              <a16:creationId xmlns:a16="http://schemas.microsoft.com/office/drawing/2014/main" id="{734F2340-F97F-48C9-91AE-BD6AB55C9682}"/>
            </a:ext>
          </a:extLst>
        </xdr:cNvPr>
        <xdr:cNvSpPr txBox="1"/>
      </xdr:nvSpPr>
      <xdr:spPr>
        <a:xfrm>
          <a:off x="6938123" y="422903"/>
          <a:ext cx="2326898" cy="22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j-lt"/>
            </a:rPr>
            <a:t>Avg CGPA</a:t>
          </a:r>
        </a:p>
      </xdr:txBody>
    </xdr:sp>
    <xdr:clientData/>
  </xdr:twoCellAnchor>
  <xdr:twoCellAnchor>
    <xdr:from>
      <xdr:col>16</xdr:col>
      <xdr:colOff>590372</xdr:colOff>
      <xdr:row>2</xdr:row>
      <xdr:rowOff>41615</xdr:rowOff>
    </xdr:from>
    <xdr:to>
      <xdr:col>20</xdr:col>
      <xdr:colOff>463371</xdr:colOff>
      <xdr:row>3</xdr:row>
      <xdr:rowOff>117816</xdr:rowOff>
    </xdr:to>
    <xdr:sp macro="" textlink="">
      <xdr:nvSpPr>
        <xdr:cNvPr id="29" name="TextBox 28">
          <a:extLst>
            <a:ext uri="{FF2B5EF4-FFF2-40B4-BE49-F238E27FC236}">
              <a16:creationId xmlns:a16="http://schemas.microsoft.com/office/drawing/2014/main" id="{E2D9EB19-0561-4A01-948D-115FDFC696BB}"/>
            </a:ext>
          </a:extLst>
        </xdr:cNvPr>
        <xdr:cNvSpPr txBox="1"/>
      </xdr:nvSpPr>
      <xdr:spPr>
        <a:xfrm>
          <a:off x="10405965" y="407547"/>
          <a:ext cx="2326898" cy="25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j-lt"/>
            </a:rPr>
            <a:t>Avg GRE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412750</xdr:colOff>
      <xdr:row>3</xdr:row>
      <xdr:rowOff>76200</xdr:rowOff>
    </xdr:from>
    <xdr:to>
      <xdr:col>9</xdr:col>
      <xdr:colOff>355600</xdr:colOff>
      <xdr:row>16</xdr:row>
      <xdr:rowOff>44450</xdr:rowOff>
    </xdr:to>
    <xdr:graphicFrame macro="">
      <xdr:nvGraphicFramePr>
        <xdr:cNvPr id="2" name="Chart 1">
          <a:extLst>
            <a:ext uri="{FF2B5EF4-FFF2-40B4-BE49-F238E27FC236}">
              <a16:creationId xmlns:a16="http://schemas.microsoft.com/office/drawing/2014/main" id="{A7909DCB-0DAD-48A3-9D79-CB81D55C2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stice" refreshedDate="46143.249130671298" createdVersion="7" refreshedVersion="7" minRefreshableVersion="3" recordCount="500" xr:uid="{00000000-000A-0000-FFFF-FFFF09000000}">
  <cacheSource type="worksheet">
    <worksheetSource name="Table1"/>
  </cacheSource>
  <cacheFields count="10">
    <cacheField name="GRE Score" numFmtId="0">
      <sharedItems containsSemiMixedTypes="0" containsString="0" containsNumber="1" containsInteger="1" minValue="290" maxValue="340" count="49">
        <n v="337"/>
        <n v="324"/>
        <n v="316"/>
        <n v="322"/>
        <n v="314"/>
        <n v="330"/>
        <n v="321"/>
        <n v="308"/>
        <n v="302"/>
        <n v="323"/>
        <n v="325"/>
        <n v="327"/>
        <n v="328"/>
        <n v="307"/>
        <n v="311"/>
        <n v="317"/>
        <n v="319"/>
        <n v="318"/>
        <n v="303"/>
        <n v="312"/>
        <n v="334"/>
        <n v="336"/>
        <n v="340"/>
        <n v="298"/>
        <n v="295"/>
        <n v="310"/>
        <n v="300"/>
        <n v="338"/>
        <n v="331"/>
        <n v="320"/>
        <n v="299"/>
        <n v="304"/>
        <n v="313"/>
        <n v="332"/>
        <n v="326"/>
        <n v="329"/>
        <n v="339"/>
        <n v="309"/>
        <n v="315"/>
        <n v="301"/>
        <n v="296"/>
        <n v="294"/>
        <n v="306"/>
        <n v="305"/>
        <n v="290"/>
        <n v="335"/>
        <n v="333"/>
        <n v="297"/>
        <n v="293"/>
      </sharedItems>
    </cacheField>
    <cacheField name="GRE Range" numFmtId="0">
      <sharedItems count="4">
        <s v="330+"/>
        <s v="320–330"/>
        <s v="310–320"/>
        <s v="300–310"/>
      </sharedItems>
    </cacheField>
    <cacheField name="TOEFL Score" numFmtId="0">
      <sharedItems containsSemiMixedTypes="0" containsString="0" containsNumber="1" containsInteger="1" minValue="92" maxValue="120" count="29">
        <n v="118"/>
        <n v="107"/>
        <n v="104"/>
        <n v="110"/>
        <n v="103"/>
        <n v="115"/>
        <n v="109"/>
        <n v="101"/>
        <n v="102"/>
        <n v="108"/>
        <n v="106"/>
        <n v="111"/>
        <n v="112"/>
        <n v="105"/>
        <n v="114"/>
        <n v="116"/>
        <n v="119"/>
        <n v="120"/>
        <n v="98"/>
        <n v="93"/>
        <n v="99"/>
        <n v="97"/>
        <n v="117"/>
        <n v="113"/>
        <n v="100"/>
        <n v="95"/>
        <n v="96"/>
        <n v="94"/>
        <n v="92"/>
      </sharedItems>
    </cacheField>
    <cacheField name="University Rating" numFmtId="0">
      <sharedItems containsSemiMixedTypes="0" containsString="0" containsNumber="1" containsInteger="1" minValue="1" maxValue="5" count="5">
        <n v="4"/>
        <n v="3"/>
        <n v="2"/>
        <n v="5"/>
        <n v="1"/>
      </sharedItems>
    </cacheField>
    <cacheField name="SOP" numFmtId="0">
      <sharedItems containsSemiMixedTypes="0" containsString="0" containsNumber="1" minValue="1" maxValue="5" count="9">
        <n v="4.5"/>
        <n v="4"/>
        <n v="3"/>
        <n v="3.5"/>
        <n v="2"/>
        <n v="5"/>
        <n v="1.5"/>
        <n v="1"/>
        <n v="2.5"/>
      </sharedItems>
    </cacheField>
    <cacheField name="LOR " numFmtId="0">
      <sharedItems containsSemiMixedTypes="0" containsString="0" containsNumber="1" minValue="1" maxValue="5" count="9">
        <n v="4.5"/>
        <n v="3.5"/>
        <n v="2.5"/>
        <n v="3"/>
        <n v="4"/>
        <n v="1.5"/>
        <n v="2"/>
        <n v="5"/>
        <n v="1"/>
      </sharedItems>
    </cacheField>
    <cacheField name="CGPA" numFmtId="0">
      <sharedItems containsSemiMixedTypes="0" containsString="0" containsNumber="1" minValue="6.8" maxValue="9.92" count="184">
        <n v="9.65"/>
        <n v="8.8699999999999992"/>
        <n v="8"/>
        <n v="8.67"/>
        <n v="8.2100000000000009"/>
        <n v="9.34"/>
        <n v="8.1999999999999993"/>
        <n v="7.9"/>
        <n v="8.6"/>
        <n v="8.4"/>
        <n v="9"/>
        <n v="9.1"/>
        <n v="8.3000000000000007"/>
        <n v="8.6999999999999993"/>
        <n v="8.8000000000000007"/>
        <n v="8.5"/>
        <n v="9.5"/>
        <n v="9.6999999999999993"/>
        <n v="9.8000000000000007"/>
        <n v="9.6"/>
        <n v="7.5"/>
        <n v="7.2"/>
        <n v="7.3"/>
        <n v="8.1"/>
        <n v="9.4"/>
        <n v="9.1999999999999993"/>
        <n v="7.8"/>
        <n v="7.7"/>
        <n v="9.3000000000000007"/>
        <n v="8.85"/>
        <n v="7.4"/>
        <n v="7.6"/>
        <n v="6.8"/>
        <n v="8.92"/>
        <n v="9.02"/>
        <n v="8.64"/>
        <n v="9.2200000000000006"/>
        <n v="9.16"/>
        <n v="9.64"/>
        <n v="9.76"/>
        <n v="9.4499999999999993"/>
        <n v="9.0399999999999991"/>
        <n v="8.9"/>
        <n v="8.56"/>
        <n v="8.7200000000000006"/>
        <n v="8.2200000000000006"/>
        <n v="7.54"/>
        <n v="7.36"/>
        <n v="8.02"/>
        <n v="9.36"/>
        <n v="8.66"/>
        <n v="8.42"/>
        <n v="8.2799999999999994"/>
        <n v="8.14"/>
        <n v="8.76"/>
        <n v="7.92"/>
        <n v="7.66"/>
        <n v="8.0299999999999994"/>
        <n v="7.88"/>
        <n v="7.84"/>
        <n v="8.9600000000000009"/>
        <n v="9.24"/>
        <n v="8.8800000000000008"/>
        <n v="8.4600000000000009"/>
        <n v="8.1199999999999992"/>
        <n v="8.25"/>
        <n v="8.4700000000000006"/>
        <n v="9.0500000000000007"/>
        <n v="8.7799999999999994"/>
        <n v="9.18"/>
        <n v="9.4600000000000009"/>
        <n v="9.3800000000000008"/>
        <n v="8.48"/>
        <n v="8.68"/>
        <n v="8.34"/>
        <n v="8.4499999999999993"/>
        <n v="8.6199999999999992"/>
        <n v="7.46"/>
        <n v="7.28"/>
        <n v="8.84"/>
        <n v="9.56"/>
        <n v="9.48"/>
        <n v="8.36"/>
        <n v="9.32"/>
        <n v="8.7100000000000009"/>
        <n v="9.35"/>
        <n v="8.65"/>
        <n v="9.2799999999999994"/>
        <n v="8.77"/>
        <n v="8.16"/>
        <n v="9.08"/>
        <n v="9.1199999999999992"/>
        <n v="9.15"/>
        <n v="9.44"/>
        <n v="9.92"/>
        <n v="9.11"/>
        <n v="8.26"/>
        <n v="9.43"/>
        <n v="9.06"/>
        <n v="8.75"/>
        <n v="8.89"/>
        <n v="8.69"/>
        <n v="7.86"/>
        <n v="9.01"/>
        <n v="8.9700000000000006"/>
        <n v="8.33"/>
        <n v="8.27"/>
        <n v="7.98"/>
        <n v="8.0399999999999991"/>
        <n v="9.07"/>
        <n v="9.1300000000000008"/>
        <n v="9.23"/>
        <n v="8.32"/>
        <n v="8.98"/>
        <n v="8.94"/>
        <n v="9.5299999999999994"/>
        <n v="8.52"/>
        <n v="8.43"/>
        <n v="8.5399999999999991"/>
        <n v="9.91"/>
        <n v="9.8699999999999992"/>
        <n v="7.65"/>
        <n v="7.89"/>
        <n v="9.14"/>
        <n v="9.66"/>
        <n v="9.7799999999999994"/>
        <n v="9.42"/>
        <n v="9.26"/>
        <n v="8.7899999999999991"/>
        <n v="8.23"/>
        <n v="8.5299999999999994"/>
        <n v="8.07"/>
        <n v="9.31"/>
        <n v="9.17"/>
        <n v="9.19"/>
        <n v="8.3699999999999992"/>
        <n v="7.68"/>
        <n v="8.15"/>
        <n v="8.73"/>
        <n v="8.83"/>
        <n v="8.57"/>
        <n v="9.68"/>
        <n v="8.09"/>
        <n v="8.17"/>
        <n v="7.64"/>
        <n v="8.01"/>
        <n v="7.95"/>
        <n v="8.49"/>
        <n v="7.87"/>
        <n v="7.97"/>
        <n v="8.18"/>
        <n v="8.5500000000000007"/>
        <n v="8.74"/>
        <n v="8.1300000000000008"/>
        <n v="8.44"/>
        <n v="9.4700000000000006"/>
        <n v="8.24"/>
        <n v="7.34"/>
        <n v="7.43"/>
        <n v="7.25"/>
        <n v="8.06"/>
        <n v="7.67"/>
        <n v="9.5399999999999991"/>
        <n v="9.6199999999999992"/>
        <n v="7.56"/>
        <n v="9.74"/>
        <n v="9.82"/>
        <n v="7.96"/>
        <n v="7.45"/>
        <n v="7.94"/>
        <n v="8.35"/>
        <n v="7.42"/>
        <n v="8.9499999999999993"/>
        <n v="9.86"/>
        <n v="7.23"/>
        <n v="7.79"/>
        <n v="9.25"/>
        <n v="9.67"/>
        <n v="8.86"/>
        <n v="7.57"/>
        <n v="7.21"/>
        <n v="9.27"/>
        <n v="7.81"/>
        <n v="7.69"/>
      </sharedItems>
    </cacheField>
    <cacheField name="CGPA Group" numFmtId="0">
      <sharedItems count="4">
        <s v="9.0+"/>
        <s v="8.5–9.0"/>
        <s v="8.0–8.5"/>
        <s v="7.5–8.0"/>
      </sharedItems>
    </cacheField>
    <cacheField name="Research" numFmtId="0">
      <sharedItems containsSemiMixedTypes="0" containsString="0" containsNumber="1" containsInteger="1" minValue="0" maxValue="1" count="2">
        <n v="1"/>
        <n v="0"/>
      </sharedItems>
    </cacheField>
    <cacheField name="Chance of Admit " numFmtId="0">
      <sharedItems containsSemiMixedTypes="0" containsString="0" containsNumber="1" minValue="0.34" maxValue="0.97" count="61">
        <n v="0.92"/>
        <n v="0.76"/>
        <n v="0.72"/>
        <n v="0.8"/>
        <n v="0.65"/>
        <n v="0.9"/>
        <n v="0.75"/>
        <n v="0.68"/>
        <n v="0.5"/>
        <n v="0.45"/>
        <n v="0.52"/>
        <n v="0.84"/>
        <n v="0.78"/>
        <n v="0.62"/>
        <n v="0.61"/>
        <n v="0.54"/>
        <n v="0.66"/>
        <n v="0.63"/>
        <n v="0.64"/>
        <n v="0.7"/>
        <n v="0.94"/>
        <n v="0.95"/>
        <n v="0.97"/>
        <n v="0.44"/>
        <n v="0.46"/>
        <n v="0.74"/>
        <n v="0.91"/>
        <n v="0.88"/>
        <n v="0.57999999999999996"/>
        <n v="0.48"/>
        <n v="0.49"/>
        <n v="0.53"/>
        <n v="0.87"/>
        <n v="0.86"/>
        <n v="0.89"/>
        <n v="0.82"/>
        <n v="0.56000000000000005"/>
        <n v="0.36"/>
        <n v="0.42"/>
        <n v="0.47"/>
        <n v="0.55000000000000004"/>
        <n v="0.56999999999999995"/>
        <n v="0.96"/>
        <n v="0.93"/>
        <n v="0.38"/>
        <n v="0.34"/>
        <n v="0.79"/>
        <n v="0.71"/>
        <n v="0.69"/>
        <n v="0.59"/>
        <n v="0.85"/>
        <n v="0.77"/>
        <n v="0.81"/>
        <n v="0.83"/>
        <n v="0.67"/>
        <n v="0.73"/>
        <n v="0.6"/>
        <n v="0.43"/>
        <n v="0.51"/>
        <n v="0.39"/>
        <n v="0.37"/>
      </sharedItems>
    </cacheField>
  </cacheFields>
  <extLst>
    <ext xmlns:x14="http://schemas.microsoft.com/office/spreadsheetml/2009/9/main" uri="{725AE2AE-9491-48be-B2B4-4EB974FC3084}">
      <x14:pivotCacheDefinition pivotCacheId="417595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x v="0"/>
    <x v="0"/>
    <x v="0"/>
  </r>
  <r>
    <x v="1"/>
    <x v="1"/>
    <x v="1"/>
    <x v="0"/>
    <x v="1"/>
    <x v="0"/>
    <x v="1"/>
    <x v="1"/>
    <x v="0"/>
    <x v="1"/>
  </r>
  <r>
    <x v="2"/>
    <x v="2"/>
    <x v="2"/>
    <x v="1"/>
    <x v="2"/>
    <x v="1"/>
    <x v="2"/>
    <x v="2"/>
    <x v="0"/>
    <x v="2"/>
  </r>
  <r>
    <x v="3"/>
    <x v="1"/>
    <x v="3"/>
    <x v="1"/>
    <x v="3"/>
    <x v="2"/>
    <x v="3"/>
    <x v="1"/>
    <x v="0"/>
    <x v="3"/>
  </r>
  <r>
    <x v="4"/>
    <x v="2"/>
    <x v="4"/>
    <x v="2"/>
    <x v="4"/>
    <x v="3"/>
    <x v="4"/>
    <x v="2"/>
    <x v="1"/>
    <x v="4"/>
  </r>
  <r>
    <x v="5"/>
    <x v="1"/>
    <x v="5"/>
    <x v="3"/>
    <x v="0"/>
    <x v="3"/>
    <x v="5"/>
    <x v="0"/>
    <x v="0"/>
    <x v="5"/>
  </r>
  <r>
    <x v="6"/>
    <x v="1"/>
    <x v="6"/>
    <x v="1"/>
    <x v="2"/>
    <x v="4"/>
    <x v="6"/>
    <x v="2"/>
    <x v="0"/>
    <x v="6"/>
  </r>
  <r>
    <x v="7"/>
    <x v="3"/>
    <x v="7"/>
    <x v="2"/>
    <x v="2"/>
    <x v="4"/>
    <x v="7"/>
    <x v="3"/>
    <x v="1"/>
    <x v="7"/>
  </r>
  <r>
    <x v="8"/>
    <x v="3"/>
    <x v="8"/>
    <x v="4"/>
    <x v="4"/>
    <x v="5"/>
    <x v="2"/>
    <x v="2"/>
    <x v="1"/>
    <x v="8"/>
  </r>
  <r>
    <x v="9"/>
    <x v="1"/>
    <x v="9"/>
    <x v="1"/>
    <x v="3"/>
    <x v="3"/>
    <x v="8"/>
    <x v="1"/>
    <x v="1"/>
    <x v="9"/>
  </r>
  <r>
    <x v="10"/>
    <x v="1"/>
    <x v="10"/>
    <x v="1"/>
    <x v="3"/>
    <x v="4"/>
    <x v="9"/>
    <x v="2"/>
    <x v="0"/>
    <x v="10"/>
  </r>
  <r>
    <x v="11"/>
    <x v="1"/>
    <x v="11"/>
    <x v="0"/>
    <x v="1"/>
    <x v="0"/>
    <x v="10"/>
    <x v="0"/>
    <x v="0"/>
    <x v="11"/>
  </r>
  <r>
    <x v="12"/>
    <x v="1"/>
    <x v="12"/>
    <x v="0"/>
    <x v="1"/>
    <x v="0"/>
    <x v="11"/>
    <x v="0"/>
    <x v="0"/>
    <x v="12"/>
  </r>
  <r>
    <x v="13"/>
    <x v="3"/>
    <x v="6"/>
    <x v="1"/>
    <x v="1"/>
    <x v="3"/>
    <x v="2"/>
    <x v="2"/>
    <x v="0"/>
    <x v="13"/>
  </r>
  <r>
    <x v="14"/>
    <x v="2"/>
    <x v="2"/>
    <x v="1"/>
    <x v="3"/>
    <x v="6"/>
    <x v="6"/>
    <x v="2"/>
    <x v="0"/>
    <x v="14"/>
  </r>
  <r>
    <x v="4"/>
    <x v="2"/>
    <x v="13"/>
    <x v="1"/>
    <x v="3"/>
    <x v="2"/>
    <x v="12"/>
    <x v="2"/>
    <x v="1"/>
    <x v="15"/>
  </r>
  <r>
    <x v="15"/>
    <x v="2"/>
    <x v="1"/>
    <x v="1"/>
    <x v="1"/>
    <x v="3"/>
    <x v="13"/>
    <x v="1"/>
    <x v="1"/>
    <x v="16"/>
  </r>
  <r>
    <x v="16"/>
    <x v="2"/>
    <x v="10"/>
    <x v="1"/>
    <x v="1"/>
    <x v="3"/>
    <x v="2"/>
    <x v="2"/>
    <x v="0"/>
    <x v="4"/>
  </r>
  <r>
    <x v="17"/>
    <x v="2"/>
    <x v="3"/>
    <x v="1"/>
    <x v="1"/>
    <x v="3"/>
    <x v="14"/>
    <x v="1"/>
    <x v="1"/>
    <x v="17"/>
  </r>
  <r>
    <x v="18"/>
    <x v="3"/>
    <x v="8"/>
    <x v="1"/>
    <x v="3"/>
    <x v="3"/>
    <x v="15"/>
    <x v="1"/>
    <x v="1"/>
    <x v="13"/>
  </r>
  <r>
    <x v="19"/>
    <x v="2"/>
    <x v="1"/>
    <x v="1"/>
    <x v="2"/>
    <x v="6"/>
    <x v="7"/>
    <x v="3"/>
    <x v="0"/>
    <x v="18"/>
  </r>
  <r>
    <x v="10"/>
    <x v="1"/>
    <x v="14"/>
    <x v="0"/>
    <x v="2"/>
    <x v="6"/>
    <x v="9"/>
    <x v="2"/>
    <x v="1"/>
    <x v="19"/>
  </r>
  <r>
    <x v="12"/>
    <x v="1"/>
    <x v="15"/>
    <x v="3"/>
    <x v="5"/>
    <x v="7"/>
    <x v="16"/>
    <x v="0"/>
    <x v="0"/>
    <x v="20"/>
  </r>
  <r>
    <x v="20"/>
    <x v="0"/>
    <x v="16"/>
    <x v="3"/>
    <x v="5"/>
    <x v="0"/>
    <x v="17"/>
    <x v="0"/>
    <x v="0"/>
    <x v="21"/>
  </r>
  <r>
    <x v="21"/>
    <x v="0"/>
    <x v="16"/>
    <x v="3"/>
    <x v="1"/>
    <x v="1"/>
    <x v="18"/>
    <x v="0"/>
    <x v="0"/>
    <x v="22"/>
  </r>
  <r>
    <x v="22"/>
    <x v="0"/>
    <x v="17"/>
    <x v="3"/>
    <x v="0"/>
    <x v="0"/>
    <x v="19"/>
    <x v="0"/>
    <x v="0"/>
    <x v="20"/>
  </r>
  <r>
    <x v="3"/>
    <x v="1"/>
    <x v="6"/>
    <x v="3"/>
    <x v="0"/>
    <x v="1"/>
    <x v="14"/>
    <x v="1"/>
    <x v="1"/>
    <x v="1"/>
  </r>
  <r>
    <x v="23"/>
    <x v="3"/>
    <x v="18"/>
    <x v="2"/>
    <x v="6"/>
    <x v="2"/>
    <x v="20"/>
    <x v="3"/>
    <x v="0"/>
    <x v="23"/>
  </r>
  <r>
    <x v="24"/>
    <x v="3"/>
    <x v="19"/>
    <x v="4"/>
    <x v="4"/>
    <x v="6"/>
    <x v="21"/>
    <x v="3"/>
    <x v="1"/>
    <x v="24"/>
  </r>
  <r>
    <x v="25"/>
    <x v="3"/>
    <x v="20"/>
    <x v="2"/>
    <x v="6"/>
    <x v="6"/>
    <x v="22"/>
    <x v="3"/>
    <x v="1"/>
    <x v="15"/>
  </r>
  <r>
    <x v="26"/>
    <x v="3"/>
    <x v="21"/>
    <x v="2"/>
    <x v="2"/>
    <x v="3"/>
    <x v="23"/>
    <x v="2"/>
    <x v="0"/>
    <x v="4"/>
  </r>
  <r>
    <x v="11"/>
    <x v="1"/>
    <x v="4"/>
    <x v="1"/>
    <x v="1"/>
    <x v="4"/>
    <x v="12"/>
    <x v="2"/>
    <x v="0"/>
    <x v="25"/>
  </r>
  <r>
    <x v="27"/>
    <x v="0"/>
    <x v="0"/>
    <x v="0"/>
    <x v="2"/>
    <x v="0"/>
    <x v="24"/>
    <x v="0"/>
    <x v="0"/>
    <x v="26"/>
  </r>
  <r>
    <x v="22"/>
    <x v="0"/>
    <x v="14"/>
    <x v="3"/>
    <x v="1"/>
    <x v="4"/>
    <x v="19"/>
    <x v="0"/>
    <x v="0"/>
    <x v="5"/>
  </r>
  <r>
    <x v="28"/>
    <x v="0"/>
    <x v="12"/>
    <x v="3"/>
    <x v="1"/>
    <x v="7"/>
    <x v="18"/>
    <x v="0"/>
    <x v="0"/>
    <x v="20"/>
  </r>
  <r>
    <x v="29"/>
    <x v="2"/>
    <x v="3"/>
    <x v="3"/>
    <x v="5"/>
    <x v="7"/>
    <x v="25"/>
    <x v="0"/>
    <x v="0"/>
    <x v="27"/>
  </r>
  <r>
    <x v="30"/>
    <x v="3"/>
    <x v="10"/>
    <x v="2"/>
    <x v="1"/>
    <x v="4"/>
    <x v="9"/>
    <x v="2"/>
    <x v="1"/>
    <x v="18"/>
  </r>
  <r>
    <x v="26"/>
    <x v="3"/>
    <x v="13"/>
    <x v="4"/>
    <x v="7"/>
    <x v="6"/>
    <x v="26"/>
    <x v="3"/>
    <x v="1"/>
    <x v="28"/>
  </r>
  <r>
    <x v="31"/>
    <x v="3"/>
    <x v="13"/>
    <x v="4"/>
    <x v="2"/>
    <x v="5"/>
    <x v="20"/>
    <x v="3"/>
    <x v="1"/>
    <x v="10"/>
  </r>
  <r>
    <x v="13"/>
    <x v="3"/>
    <x v="9"/>
    <x v="2"/>
    <x v="1"/>
    <x v="1"/>
    <x v="27"/>
    <x v="3"/>
    <x v="1"/>
    <x v="29"/>
  </r>
  <r>
    <x v="7"/>
    <x v="3"/>
    <x v="3"/>
    <x v="1"/>
    <x v="3"/>
    <x v="3"/>
    <x v="2"/>
    <x v="2"/>
    <x v="0"/>
    <x v="24"/>
  </r>
  <r>
    <x v="2"/>
    <x v="2"/>
    <x v="13"/>
    <x v="2"/>
    <x v="8"/>
    <x v="2"/>
    <x v="6"/>
    <x v="2"/>
    <x v="0"/>
    <x v="30"/>
  </r>
  <r>
    <x v="32"/>
    <x v="2"/>
    <x v="1"/>
    <x v="2"/>
    <x v="8"/>
    <x v="6"/>
    <x v="15"/>
    <x v="1"/>
    <x v="0"/>
    <x v="31"/>
  </r>
  <r>
    <x v="33"/>
    <x v="0"/>
    <x v="22"/>
    <x v="0"/>
    <x v="0"/>
    <x v="4"/>
    <x v="11"/>
    <x v="0"/>
    <x v="1"/>
    <x v="32"/>
  </r>
  <r>
    <x v="34"/>
    <x v="1"/>
    <x v="23"/>
    <x v="3"/>
    <x v="0"/>
    <x v="4"/>
    <x v="24"/>
    <x v="0"/>
    <x v="0"/>
    <x v="26"/>
  </r>
  <r>
    <x v="3"/>
    <x v="1"/>
    <x v="3"/>
    <x v="3"/>
    <x v="5"/>
    <x v="4"/>
    <x v="11"/>
    <x v="0"/>
    <x v="0"/>
    <x v="27"/>
  </r>
  <r>
    <x v="35"/>
    <x v="1"/>
    <x v="14"/>
    <x v="3"/>
    <x v="1"/>
    <x v="7"/>
    <x v="28"/>
    <x v="0"/>
    <x v="0"/>
    <x v="33"/>
  </r>
  <r>
    <x v="36"/>
    <x v="0"/>
    <x v="16"/>
    <x v="3"/>
    <x v="0"/>
    <x v="4"/>
    <x v="17"/>
    <x v="0"/>
    <x v="1"/>
    <x v="34"/>
  </r>
  <r>
    <x v="6"/>
    <x v="1"/>
    <x v="3"/>
    <x v="1"/>
    <x v="3"/>
    <x v="7"/>
    <x v="29"/>
    <x v="1"/>
    <x v="0"/>
    <x v="35"/>
  </r>
  <r>
    <x v="11"/>
    <x v="1"/>
    <x v="11"/>
    <x v="0"/>
    <x v="2"/>
    <x v="4"/>
    <x v="9"/>
    <x v="2"/>
    <x v="0"/>
    <x v="12"/>
  </r>
  <r>
    <x v="32"/>
    <x v="2"/>
    <x v="18"/>
    <x v="1"/>
    <x v="8"/>
    <x v="0"/>
    <x v="12"/>
    <x v="2"/>
    <x v="0"/>
    <x v="1"/>
  </r>
  <r>
    <x v="19"/>
    <x v="2"/>
    <x v="24"/>
    <x v="2"/>
    <x v="6"/>
    <x v="1"/>
    <x v="7"/>
    <x v="3"/>
    <x v="0"/>
    <x v="36"/>
  </r>
  <r>
    <x v="20"/>
    <x v="0"/>
    <x v="15"/>
    <x v="0"/>
    <x v="1"/>
    <x v="3"/>
    <x v="2"/>
    <x v="2"/>
    <x v="0"/>
    <x v="12"/>
  </r>
  <r>
    <x v="1"/>
    <x v="1"/>
    <x v="12"/>
    <x v="0"/>
    <x v="1"/>
    <x v="2"/>
    <x v="23"/>
    <x v="2"/>
    <x v="0"/>
    <x v="2"/>
  </r>
  <r>
    <x v="3"/>
    <x v="1"/>
    <x v="3"/>
    <x v="1"/>
    <x v="2"/>
    <x v="1"/>
    <x v="2"/>
    <x v="2"/>
    <x v="1"/>
    <x v="19"/>
  </r>
  <r>
    <x v="29"/>
    <x v="2"/>
    <x v="4"/>
    <x v="1"/>
    <x v="2"/>
    <x v="3"/>
    <x v="27"/>
    <x v="3"/>
    <x v="1"/>
    <x v="18"/>
  </r>
  <r>
    <x v="2"/>
    <x v="2"/>
    <x v="8"/>
    <x v="1"/>
    <x v="4"/>
    <x v="3"/>
    <x v="30"/>
    <x v="3"/>
    <x v="1"/>
    <x v="18"/>
  </r>
  <r>
    <x v="23"/>
    <x v="3"/>
    <x v="20"/>
    <x v="2"/>
    <x v="1"/>
    <x v="6"/>
    <x v="31"/>
    <x v="3"/>
    <x v="1"/>
    <x v="24"/>
  </r>
  <r>
    <x v="26"/>
    <x v="3"/>
    <x v="20"/>
    <x v="4"/>
    <x v="2"/>
    <x v="6"/>
    <x v="32"/>
    <x v="3"/>
    <x v="0"/>
    <x v="37"/>
  </r>
  <r>
    <x v="14"/>
    <x v="2"/>
    <x v="2"/>
    <x v="2"/>
    <x v="4"/>
    <x v="6"/>
    <x v="12"/>
    <x v="2"/>
    <x v="1"/>
    <x v="38"/>
  </r>
  <r>
    <x v="37"/>
    <x v="3"/>
    <x v="24"/>
    <x v="2"/>
    <x v="2"/>
    <x v="3"/>
    <x v="23"/>
    <x v="2"/>
    <x v="1"/>
    <x v="29"/>
  </r>
  <r>
    <x v="13"/>
    <x v="3"/>
    <x v="7"/>
    <x v="1"/>
    <x v="1"/>
    <x v="3"/>
    <x v="6"/>
    <x v="2"/>
    <x v="1"/>
    <x v="39"/>
  </r>
  <r>
    <x v="31"/>
    <x v="3"/>
    <x v="13"/>
    <x v="2"/>
    <x v="2"/>
    <x v="3"/>
    <x v="6"/>
    <x v="2"/>
    <x v="0"/>
    <x v="15"/>
  </r>
  <r>
    <x v="38"/>
    <x v="2"/>
    <x v="1"/>
    <x v="2"/>
    <x v="1"/>
    <x v="3"/>
    <x v="15"/>
    <x v="1"/>
    <x v="0"/>
    <x v="36"/>
  </r>
  <r>
    <x v="10"/>
    <x v="1"/>
    <x v="11"/>
    <x v="1"/>
    <x v="2"/>
    <x v="1"/>
    <x v="13"/>
    <x v="1"/>
    <x v="1"/>
    <x v="10"/>
  </r>
  <r>
    <x v="10"/>
    <x v="1"/>
    <x v="12"/>
    <x v="0"/>
    <x v="3"/>
    <x v="1"/>
    <x v="33"/>
    <x v="1"/>
    <x v="1"/>
    <x v="40"/>
  </r>
  <r>
    <x v="11"/>
    <x v="1"/>
    <x v="14"/>
    <x v="1"/>
    <x v="2"/>
    <x v="3"/>
    <x v="34"/>
    <x v="0"/>
    <x v="1"/>
    <x v="14"/>
  </r>
  <r>
    <x v="2"/>
    <x v="2"/>
    <x v="1"/>
    <x v="2"/>
    <x v="3"/>
    <x v="1"/>
    <x v="35"/>
    <x v="1"/>
    <x v="0"/>
    <x v="41"/>
  </r>
  <r>
    <x v="17"/>
    <x v="2"/>
    <x v="6"/>
    <x v="1"/>
    <x v="3"/>
    <x v="4"/>
    <x v="36"/>
    <x v="0"/>
    <x v="0"/>
    <x v="7"/>
  </r>
  <r>
    <x v="12"/>
    <x v="1"/>
    <x v="5"/>
    <x v="0"/>
    <x v="0"/>
    <x v="4"/>
    <x v="37"/>
    <x v="0"/>
    <x v="0"/>
    <x v="12"/>
  </r>
  <r>
    <x v="33"/>
    <x v="0"/>
    <x v="0"/>
    <x v="3"/>
    <x v="5"/>
    <x v="7"/>
    <x v="38"/>
    <x v="0"/>
    <x v="0"/>
    <x v="20"/>
  </r>
  <r>
    <x v="21"/>
    <x v="0"/>
    <x v="12"/>
    <x v="3"/>
    <x v="5"/>
    <x v="7"/>
    <x v="39"/>
    <x v="0"/>
    <x v="0"/>
    <x v="42"/>
  </r>
  <r>
    <x v="6"/>
    <x v="1"/>
    <x v="11"/>
    <x v="3"/>
    <x v="5"/>
    <x v="7"/>
    <x v="40"/>
    <x v="0"/>
    <x v="0"/>
    <x v="43"/>
  </r>
  <r>
    <x v="4"/>
    <x v="2"/>
    <x v="9"/>
    <x v="0"/>
    <x v="0"/>
    <x v="4"/>
    <x v="41"/>
    <x v="0"/>
    <x v="0"/>
    <x v="11"/>
  </r>
  <r>
    <x v="4"/>
    <x v="2"/>
    <x v="10"/>
    <x v="1"/>
    <x v="2"/>
    <x v="7"/>
    <x v="42"/>
    <x v="1"/>
    <x v="1"/>
    <x v="25"/>
  </r>
  <r>
    <x v="35"/>
    <x v="1"/>
    <x v="14"/>
    <x v="2"/>
    <x v="4"/>
    <x v="4"/>
    <x v="43"/>
    <x v="1"/>
    <x v="0"/>
    <x v="2"/>
  </r>
  <r>
    <x v="11"/>
    <x v="1"/>
    <x v="12"/>
    <x v="1"/>
    <x v="2"/>
    <x v="3"/>
    <x v="44"/>
    <x v="1"/>
    <x v="0"/>
    <x v="25"/>
  </r>
  <r>
    <x v="39"/>
    <x v="3"/>
    <x v="20"/>
    <x v="2"/>
    <x v="2"/>
    <x v="6"/>
    <x v="45"/>
    <x v="2"/>
    <x v="1"/>
    <x v="18"/>
  </r>
  <r>
    <x v="40"/>
    <x v="3"/>
    <x v="25"/>
    <x v="2"/>
    <x v="2"/>
    <x v="6"/>
    <x v="46"/>
    <x v="3"/>
    <x v="0"/>
    <x v="23"/>
  </r>
  <r>
    <x v="41"/>
    <x v="3"/>
    <x v="19"/>
    <x v="4"/>
    <x v="6"/>
    <x v="6"/>
    <x v="47"/>
    <x v="3"/>
    <x v="1"/>
    <x v="24"/>
  </r>
  <r>
    <x v="19"/>
    <x v="2"/>
    <x v="13"/>
    <x v="1"/>
    <x v="4"/>
    <x v="3"/>
    <x v="48"/>
    <x v="2"/>
    <x v="0"/>
    <x v="8"/>
  </r>
  <r>
    <x v="22"/>
    <x v="0"/>
    <x v="17"/>
    <x v="0"/>
    <x v="5"/>
    <x v="7"/>
    <x v="16"/>
    <x v="0"/>
    <x v="0"/>
    <x v="42"/>
  </r>
  <r>
    <x v="29"/>
    <x v="2"/>
    <x v="3"/>
    <x v="3"/>
    <x v="5"/>
    <x v="0"/>
    <x v="36"/>
    <x v="0"/>
    <x v="0"/>
    <x v="0"/>
  </r>
  <r>
    <x v="3"/>
    <x v="1"/>
    <x v="5"/>
    <x v="3"/>
    <x v="1"/>
    <x v="0"/>
    <x v="49"/>
    <x v="0"/>
    <x v="0"/>
    <x v="0"/>
  </r>
  <r>
    <x v="22"/>
    <x v="0"/>
    <x v="5"/>
    <x v="3"/>
    <x v="0"/>
    <x v="0"/>
    <x v="40"/>
    <x v="0"/>
    <x v="0"/>
    <x v="20"/>
  </r>
  <r>
    <x v="16"/>
    <x v="2"/>
    <x v="4"/>
    <x v="0"/>
    <x v="0"/>
    <x v="1"/>
    <x v="50"/>
    <x v="1"/>
    <x v="1"/>
    <x v="1"/>
  </r>
  <r>
    <x v="38"/>
    <x v="2"/>
    <x v="10"/>
    <x v="1"/>
    <x v="0"/>
    <x v="1"/>
    <x v="51"/>
    <x v="2"/>
    <x v="1"/>
    <x v="2"/>
  </r>
  <r>
    <x v="15"/>
    <x v="2"/>
    <x v="1"/>
    <x v="2"/>
    <x v="3"/>
    <x v="3"/>
    <x v="52"/>
    <x v="2"/>
    <x v="1"/>
    <x v="16"/>
  </r>
  <r>
    <x v="4"/>
    <x v="2"/>
    <x v="9"/>
    <x v="1"/>
    <x v="0"/>
    <x v="1"/>
    <x v="53"/>
    <x v="2"/>
    <x v="1"/>
    <x v="18"/>
  </r>
  <r>
    <x v="2"/>
    <x v="2"/>
    <x v="6"/>
    <x v="0"/>
    <x v="0"/>
    <x v="1"/>
    <x v="54"/>
    <x v="1"/>
    <x v="0"/>
    <x v="25"/>
  </r>
  <r>
    <x v="17"/>
    <x v="2"/>
    <x v="10"/>
    <x v="2"/>
    <x v="1"/>
    <x v="4"/>
    <x v="55"/>
    <x v="3"/>
    <x v="0"/>
    <x v="18"/>
  </r>
  <r>
    <x v="30"/>
    <x v="3"/>
    <x v="21"/>
    <x v="1"/>
    <x v="5"/>
    <x v="1"/>
    <x v="56"/>
    <x v="3"/>
    <x v="1"/>
    <x v="44"/>
  </r>
  <r>
    <x v="23"/>
    <x v="3"/>
    <x v="18"/>
    <x v="2"/>
    <x v="1"/>
    <x v="3"/>
    <x v="57"/>
    <x v="2"/>
    <x v="1"/>
    <x v="45"/>
  </r>
  <r>
    <x v="39"/>
    <x v="3"/>
    <x v="21"/>
    <x v="2"/>
    <x v="2"/>
    <x v="3"/>
    <x v="58"/>
    <x v="3"/>
    <x v="0"/>
    <x v="23"/>
  </r>
  <r>
    <x v="18"/>
    <x v="3"/>
    <x v="20"/>
    <x v="1"/>
    <x v="4"/>
    <x v="2"/>
    <x v="56"/>
    <x v="3"/>
    <x v="1"/>
    <x v="37"/>
  </r>
  <r>
    <x v="31"/>
    <x v="3"/>
    <x v="24"/>
    <x v="0"/>
    <x v="6"/>
    <x v="2"/>
    <x v="59"/>
    <x v="3"/>
    <x v="1"/>
    <x v="38"/>
  </r>
  <r>
    <x v="42"/>
    <x v="3"/>
    <x v="24"/>
    <x v="2"/>
    <x v="2"/>
    <x v="3"/>
    <x v="2"/>
    <x v="2"/>
    <x v="1"/>
    <x v="29"/>
  </r>
  <r>
    <x v="28"/>
    <x v="0"/>
    <x v="17"/>
    <x v="1"/>
    <x v="1"/>
    <x v="4"/>
    <x v="60"/>
    <x v="1"/>
    <x v="0"/>
    <x v="33"/>
  </r>
  <r>
    <x v="33"/>
    <x v="0"/>
    <x v="16"/>
    <x v="0"/>
    <x v="5"/>
    <x v="0"/>
    <x v="61"/>
    <x v="0"/>
    <x v="0"/>
    <x v="5"/>
  </r>
  <r>
    <x v="9"/>
    <x v="1"/>
    <x v="23"/>
    <x v="1"/>
    <x v="1"/>
    <x v="4"/>
    <x v="62"/>
    <x v="1"/>
    <x v="0"/>
    <x v="46"/>
  </r>
  <r>
    <x v="3"/>
    <x v="1"/>
    <x v="1"/>
    <x v="1"/>
    <x v="3"/>
    <x v="1"/>
    <x v="63"/>
    <x v="2"/>
    <x v="0"/>
    <x v="47"/>
  </r>
  <r>
    <x v="19"/>
    <x v="2"/>
    <x v="13"/>
    <x v="2"/>
    <x v="8"/>
    <x v="3"/>
    <x v="64"/>
    <x v="2"/>
    <x v="1"/>
    <x v="18"/>
  </r>
  <r>
    <x v="4"/>
    <x v="2"/>
    <x v="10"/>
    <x v="2"/>
    <x v="1"/>
    <x v="1"/>
    <x v="65"/>
    <x v="2"/>
    <x v="1"/>
    <x v="13"/>
  </r>
  <r>
    <x v="15"/>
    <x v="2"/>
    <x v="2"/>
    <x v="2"/>
    <x v="0"/>
    <x v="4"/>
    <x v="66"/>
    <x v="2"/>
    <x v="1"/>
    <x v="41"/>
  </r>
  <r>
    <x v="34"/>
    <x v="1"/>
    <x v="12"/>
    <x v="1"/>
    <x v="3"/>
    <x v="3"/>
    <x v="67"/>
    <x v="0"/>
    <x v="0"/>
    <x v="25"/>
  </r>
  <r>
    <x v="2"/>
    <x v="2"/>
    <x v="3"/>
    <x v="1"/>
    <x v="1"/>
    <x v="0"/>
    <x v="68"/>
    <x v="1"/>
    <x v="0"/>
    <x v="48"/>
  </r>
  <r>
    <x v="35"/>
    <x v="1"/>
    <x v="11"/>
    <x v="0"/>
    <x v="0"/>
    <x v="0"/>
    <x v="69"/>
    <x v="0"/>
    <x v="0"/>
    <x v="32"/>
  </r>
  <r>
    <x v="27"/>
    <x v="0"/>
    <x v="22"/>
    <x v="0"/>
    <x v="3"/>
    <x v="0"/>
    <x v="70"/>
    <x v="0"/>
    <x v="0"/>
    <x v="26"/>
  </r>
  <r>
    <x v="28"/>
    <x v="0"/>
    <x v="15"/>
    <x v="3"/>
    <x v="5"/>
    <x v="7"/>
    <x v="71"/>
    <x v="0"/>
    <x v="0"/>
    <x v="43"/>
  </r>
  <r>
    <x v="31"/>
    <x v="3"/>
    <x v="4"/>
    <x v="3"/>
    <x v="5"/>
    <x v="4"/>
    <x v="35"/>
    <x v="1"/>
    <x v="1"/>
    <x v="7"/>
  </r>
  <r>
    <x v="43"/>
    <x v="3"/>
    <x v="9"/>
    <x v="3"/>
    <x v="2"/>
    <x v="3"/>
    <x v="72"/>
    <x v="2"/>
    <x v="1"/>
    <x v="14"/>
  </r>
  <r>
    <x v="6"/>
    <x v="1"/>
    <x v="6"/>
    <x v="0"/>
    <x v="1"/>
    <x v="4"/>
    <x v="73"/>
    <x v="1"/>
    <x v="0"/>
    <x v="48"/>
  </r>
  <r>
    <x v="39"/>
    <x v="3"/>
    <x v="1"/>
    <x v="1"/>
    <x v="3"/>
    <x v="1"/>
    <x v="74"/>
    <x v="2"/>
    <x v="0"/>
    <x v="13"/>
  </r>
  <r>
    <x v="29"/>
    <x v="2"/>
    <x v="3"/>
    <x v="2"/>
    <x v="1"/>
    <x v="1"/>
    <x v="43"/>
    <x v="1"/>
    <x v="1"/>
    <x v="2"/>
  </r>
  <r>
    <x v="14"/>
    <x v="2"/>
    <x v="13"/>
    <x v="1"/>
    <x v="3"/>
    <x v="3"/>
    <x v="75"/>
    <x v="2"/>
    <x v="0"/>
    <x v="49"/>
  </r>
  <r>
    <x v="25"/>
    <x v="3"/>
    <x v="10"/>
    <x v="0"/>
    <x v="0"/>
    <x v="0"/>
    <x v="41"/>
    <x v="0"/>
    <x v="0"/>
    <x v="16"/>
  </r>
  <r>
    <x v="30"/>
    <x v="3"/>
    <x v="8"/>
    <x v="1"/>
    <x v="1"/>
    <x v="1"/>
    <x v="76"/>
    <x v="1"/>
    <x v="1"/>
    <x v="36"/>
  </r>
  <r>
    <x v="44"/>
    <x v="3"/>
    <x v="2"/>
    <x v="0"/>
    <x v="4"/>
    <x v="2"/>
    <x v="77"/>
    <x v="3"/>
    <x v="1"/>
    <x v="9"/>
  </r>
  <r>
    <x v="40"/>
    <x v="3"/>
    <x v="20"/>
    <x v="2"/>
    <x v="2"/>
    <x v="1"/>
    <x v="78"/>
    <x v="3"/>
    <x v="1"/>
    <x v="39"/>
  </r>
  <r>
    <x v="11"/>
    <x v="1"/>
    <x v="2"/>
    <x v="3"/>
    <x v="2"/>
    <x v="1"/>
    <x v="79"/>
    <x v="1"/>
    <x v="0"/>
    <x v="47"/>
  </r>
  <r>
    <x v="45"/>
    <x v="0"/>
    <x v="22"/>
    <x v="3"/>
    <x v="5"/>
    <x v="7"/>
    <x v="80"/>
    <x v="0"/>
    <x v="0"/>
    <x v="20"/>
  </r>
  <r>
    <x v="20"/>
    <x v="0"/>
    <x v="16"/>
    <x v="3"/>
    <x v="0"/>
    <x v="0"/>
    <x v="81"/>
    <x v="0"/>
    <x v="0"/>
    <x v="20"/>
  </r>
  <r>
    <x v="25"/>
    <x v="3"/>
    <x v="10"/>
    <x v="0"/>
    <x v="6"/>
    <x v="2"/>
    <x v="82"/>
    <x v="2"/>
    <x v="1"/>
    <x v="41"/>
  </r>
  <r>
    <x v="7"/>
    <x v="3"/>
    <x v="9"/>
    <x v="1"/>
    <x v="3"/>
    <x v="1"/>
    <x v="45"/>
    <x v="2"/>
    <x v="1"/>
    <x v="14"/>
  </r>
  <r>
    <x v="39"/>
    <x v="3"/>
    <x v="10"/>
    <x v="0"/>
    <x v="8"/>
    <x v="3"/>
    <x v="66"/>
    <x v="2"/>
    <x v="1"/>
    <x v="41"/>
  </r>
  <r>
    <x v="26"/>
    <x v="3"/>
    <x v="24"/>
    <x v="1"/>
    <x v="4"/>
    <x v="3"/>
    <x v="50"/>
    <x v="1"/>
    <x v="0"/>
    <x v="18"/>
  </r>
  <r>
    <x v="9"/>
    <x v="1"/>
    <x v="23"/>
    <x v="1"/>
    <x v="1"/>
    <x v="3"/>
    <x v="83"/>
    <x v="0"/>
    <x v="0"/>
    <x v="50"/>
  </r>
  <r>
    <x v="16"/>
    <x v="2"/>
    <x v="12"/>
    <x v="1"/>
    <x v="8"/>
    <x v="6"/>
    <x v="84"/>
    <x v="1"/>
    <x v="0"/>
    <x v="12"/>
  </r>
  <r>
    <x v="34"/>
    <x v="1"/>
    <x v="12"/>
    <x v="1"/>
    <x v="3"/>
    <x v="3"/>
    <x v="11"/>
    <x v="0"/>
    <x v="0"/>
    <x v="11"/>
  </r>
  <r>
    <x v="46"/>
    <x v="0"/>
    <x v="0"/>
    <x v="3"/>
    <x v="5"/>
    <x v="7"/>
    <x v="85"/>
    <x v="0"/>
    <x v="0"/>
    <x v="0"/>
  </r>
  <r>
    <x v="36"/>
    <x v="0"/>
    <x v="14"/>
    <x v="3"/>
    <x v="1"/>
    <x v="0"/>
    <x v="39"/>
    <x v="0"/>
    <x v="0"/>
    <x v="42"/>
  </r>
  <r>
    <x v="18"/>
    <x v="3"/>
    <x v="13"/>
    <x v="3"/>
    <x v="5"/>
    <x v="0"/>
    <x v="86"/>
    <x v="1"/>
    <x v="1"/>
    <x v="51"/>
  </r>
  <r>
    <x v="37"/>
    <x v="3"/>
    <x v="13"/>
    <x v="3"/>
    <x v="3"/>
    <x v="1"/>
    <x v="43"/>
    <x v="1"/>
    <x v="1"/>
    <x v="47"/>
  </r>
  <r>
    <x v="9"/>
    <x v="1"/>
    <x v="12"/>
    <x v="3"/>
    <x v="1"/>
    <x v="0"/>
    <x v="68"/>
    <x v="1"/>
    <x v="1"/>
    <x v="46"/>
  </r>
  <r>
    <x v="46"/>
    <x v="0"/>
    <x v="23"/>
    <x v="3"/>
    <x v="1"/>
    <x v="4"/>
    <x v="87"/>
    <x v="0"/>
    <x v="0"/>
    <x v="34"/>
  </r>
  <r>
    <x v="4"/>
    <x v="2"/>
    <x v="6"/>
    <x v="0"/>
    <x v="3"/>
    <x v="4"/>
    <x v="88"/>
    <x v="1"/>
    <x v="0"/>
    <x v="35"/>
  </r>
  <r>
    <x v="19"/>
    <x v="2"/>
    <x v="4"/>
    <x v="1"/>
    <x v="5"/>
    <x v="4"/>
    <x v="75"/>
    <x v="2"/>
    <x v="1"/>
    <x v="1"/>
  </r>
  <r>
    <x v="2"/>
    <x v="2"/>
    <x v="24"/>
    <x v="2"/>
    <x v="6"/>
    <x v="3"/>
    <x v="89"/>
    <x v="2"/>
    <x v="0"/>
    <x v="47"/>
  </r>
  <r>
    <x v="34"/>
    <x v="1"/>
    <x v="15"/>
    <x v="2"/>
    <x v="0"/>
    <x v="3"/>
    <x v="90"/>
    <x v="0"/>
    <x v="0"/>
    <x v="3"/>
  </r>
  <r>
    <x v="17"/>
    <x v="2"/>
    <x v="6"/>
    <x v="4"/>
    <x v="3"/>
    <x v="1"/>
    <x v="91"/>
    <x v="0"/>
    <x v="1"/>
    <x v="12"/>
  </r>
  <r>
    <x v="35"/>
    <x v="1"/>
    <x v="3"/>
    <x v="2"/>
    <x v="1"/>
    <x v="3"/>
    <x v="92"/>
    <x v="0"/>
    <x v="0"/>
    <x v="11"/>
  </r>
  <r>
    <x v="33"/>
    <x v="0"/>
    <x v="0"/>
    <x v="2"/>
    <x v="0"/>
    <x v="1"/>
    <x v="49"/>
    <x v="0"/>
    <x v="0"/>
    <x v="5"/>
  </r>
  <r>
    <x v="28"/>
    <x v="0"/>
    <x v="5"/>
    <x v="3"/>
    <x v="1"/>
    <x v="1"/>
    <x v="93"/>
    <x v="0"/>
    <x v="0"/>
    <x v="0"/>
  </r>
  <r>
    <x v="22"/>
    <x v="0"/>
    <x v="17"/>
    <x v="0"/>
    <x v="0"/>
    <x v="4"/>
    <x v="94"/>
    <x v="0"/>
    <x v="0"/>
    <x v="22"/>
  </r>
  <r>
    <x v="10"/>
    <x v="1"/>
    <x v="12"/>
    <x v="2"/>
    <x v="2"/>
    <x v="1"/>
    <x v="60"/>
    <x v="1"/>
    <x v="0"/>
    <x v="3"/>
  </r>
  <r>
    <x v="29"/>
    <x v="2"/>
    <x v="23"/>
    <x v="2"/>
    <x v="4"/>
    <x v="2"/>
    <x v="35"/>
    <x v="1"/>
    <x v="0"/>
    <x v="52"/>
  </r>
  <r>
    <x v="38"/>
    <x v="2"/>
    <x v="13"/>
    <x v="1"/>
    <x v="4"/>
    <x v="2"/>
    <x v="72"/>
    <x v="2"/>
    <x v="1"/>
    <x v="6"/>
  </r>
  <r>
    <x v="34"/>
    <x v="1"/>
    <x v="14"/>
    <x v="1"/>
    <x v="2"/>
    <x v="3"/>
    <x v="95"/>
    <x v="0"/>
    <x v="0"/>
    <x v="53"/>
  </r>
  <r>
    <x v="36"/>
    <x v="0"/>
    <x v="15"/>
    <x v="0"/>
    <x v="1"/>
    <x v="1"/>
    <x v="18"/>
    <x v="0"/>
    <x v="0"/>
    <x v="42"/>
  </r>
  <r>
    <x v="14"/>
    <x v="2"/>
    <x v="10"/>
    <x v="2"/>
    <x v="3"/>
    <x v="3"/>
    <x v="96"/>
    <x v="2"/>
    <x v="0"/>
    <x v="46"/>
  </r>
  <r>
    <x v="20"/>
    <x v="0"/>
    <x v="14"/>
    <x v="0"/>
    <x v="1"/>
    <x v="4"/>
    <x v="97"/>
    <x v="0"/>
    <x v="0"/>
    <x v="43"/>
  </r>
  <r>
    <x v="33"/>
    <x v="0"/>
    <x v="15"/>
    <x v="3"/>
    <x v="5"/>
    <x v="7"/>
    <x v="87"/>
    <x v="0"/>
    <x v="0"/>
    <x v="20"/>
  </r>
  <r>
    <x v="6"/>
    <x v="1"/>
    <x v="12"/>
    <x v="3"/>
    <x v="5"/>
    <x v="7"/>
    <x v="98"/>
    <x v="0"/>
    <x v="0"/>
    <x v="33"/>
  </r>
  <r>
    <x v="1"/>
    <x v="1"/>
    <x v="13"/>
    <x v="1"/>
    <x v="2"/>
    <x v="4"/>
    <x v="99"/>
    <x v="1"/>
    <x v="1"/>
    <x v="46"/>
  </r>
  <r>
    <x v="34"/>
    <x v="1"/>
    <x v="9"/>
    <x v="1"/>
    <x v="2"/>
    <x v="1"/>
    <x v="100"/>
    <x v="1"/>
    <x v="1"/>
    <x v="3"/>
  </r>
  <r>
    <x v="19"/>
    <x v="2"/>
    <x v="6"/>
    <x v="1"/>
    <x v="2"/>
    <x v="3"/>
    <x v="101"/>
    <x v="1"/>
    <x v="1"/>
    <x v="51"/>
  </r>
  <r>
    <x v="38"/>
    <x v="2"/>
    <x v="13"/>
    <x v="1"/>
    <x v="4"/>
    <x v="2"/>
    <x v="74"/>
    <x v="2"/>
    <x v="1"/>
    <x v="19"/>
  </r>
  <r>
    <x v="37"/>
    <x v="3"/>
    <x v="2"/>
    <x v="2"/>
    <x v="4"/>
    <x v="2"/>
    <x v="96"/>
    <x v="2"/>
    <x v="1"/>
    <x v="4"/>
  </r>
  <r>
    <x v="42"/>
    <x v="3"/>
    <x v="10"/>
    <x v="2"/>
    <x v="4"/>
    <x v="2"/>
    <x v="53"/>
    <x v="2"/>
    <x v="1"/>
    <x v="14"/>
  </r>
  <r>
    <x v="47"/>
    <x v="3"/>
    <x v="24"/>
    <x v="4"/>
    <x v="6"/>
    <x v="6"/>
    <x v="7"/>
    <x v="3"/>
    <x v="1"/>
    <x v="10"/>
  </r>
  <r>
    <x v="38"/>
    <x v="2"/>
    <x v="4"/>
    <x v="4"/>
    <x v="6"/>
    <x v="6"/>
    <x v="102"/>
    <x v="3"/>
    <x v="1"/>
    <x v="41"/>
  </r>
  <r>
    <x v="23"/>
    <x v="3"/>
    <x v="20"/>
    <x v="4"/>
    <x v="6"/>
    <x v="3"/>
    <x v="77"/>
    <x v="3"/>
    <x v="1"/>
    <x v="31"/>
  </r>
  <r>
    <x v="17"/>
    <x v="2"/>
    <x v="6"/>
    <x v="1"/>
    <x v="2"/>
    <x v="3"/>
    <x v="15"/>
    <x v="1"/>
    <x v="1"/>
    <x v="54"/>
  </r>
  <r>
    <x v="15"/>
    <x v="2"/>
    <x v="13"/>
    <x v="1"/>
    <x v="3"/>
    <x v="3"/>
    <x v="43"/>
    <x v="1"/>
    <x v="1"/>
    <x v="7"/>
  </r>
  <r>
    <x v="35"/>
    <x v="1"/>
    <x v="11"/>
    <x v="0"/>
    <x v="0"/>
    <x v="4"/>
    <x v="103"/>
    <x v="0"/>
    <x v="0"/>
    <x v="52"/>
  </r>
  <r>
    <x v="3"/>
    <x v="1"/>
    <x v="3"/>
    <x v="3"/>
    <x v="0"/>
    <x v="4"/>
    <x v="104"/>
    <x v="1"/>
    <x v="1"/>
    <x v="12"/>
  </r>
  <r>
    <x v="8"/>
    <x v="3"/>
    <x v="8"/>
    <x v="1"/>
    <x v="3"/>
    <x v="7"/>
    <x v="105"/>
    <x v="2"/>
    <x v="1"/>
    <x v="4"/>
  </r>
  <r>
    <x v="32"/>
    <x v="2"/>
    <x v="8"/>
    <x v="1"/>
    <x v="4"/>
    <x v="3"/>
    <x v="106"/>
    <x v="2"/>
    <x v="1"/>
    <x v="18"/>
  </r>
  <r>
    <x v="48"/>
    <x v="3"/>
    <x v="21"/>
    <x v="2"/>
    <x v="4"/>
    <x v="4"/>
    <x v="26"/>
    <x v="3"/>
    <x v="0"/>
    <x v="18"/>
  </r>
  <r>
    <x v="14"/>
    <x v="2"/>
    <x v="20"/>
    <x v="2"/>
    <x v="8"/>
    <x v="3"/>
    <x v="107"/>
    <x v="3"/>
    <x v="1"/>
    <x v="4"/>
  </r>
  <r>
    <x v="19"/>
    <x v="2"/>
    <x v="7"/>
    <x v="2"/>
    <x v="8"/>
    <x v="1"/>
    <x v="108"/>
    <x v="2"/>
    <x v="0"/>
    <x v="7"/>
  </r>
  <r>
    <x v="20"/>
    <x v="0"/>
    <x v="22"/>
    <x v="3"/>
    <x v="1"/>
    <x v="0"/>
    <x v="109"/>
    <x v="0"/>
    <x v="0"/>
    <x v="34"/>
  </r>
  <r>
    <x v="3"/>
    <x v="1"/>
    <x v="3"/>
    <x v="0"/>
    <x v="1"/>
    <x v="7"/>
    <x v="110"/>
    <x v="0"/>
    <x v="0"/>
    <x v="33"/>
  </r>
  <r>
    <x v="9"/>
    <x v="1"/>
    <x v="23"/>
    <x v="0"/>
    <x v="1"/>
    <x v="0"/>
    <x v="111"/>
    <x v="0"/>
    <x v="0"/>
    <x v="34"/>
  </r>
  <r>
    <x v="6"/>
    <x v="1"/>
    <x v="11"/>
    <x v="0"/>
    <x v="1"/>
    <x v="4"/>
    <x v="104"/>
    <x v="1"/>
    <x v="0"/>
    <x v="32"/>
  </r>
  <r>
    <x v="29"/>
    <x v="2"/>
    <x v="11"/>
    <x v="0"/>
    <x v="0"/>
    <x v="1"/>
    <x v="1"/>
    <x v="1"/>
    <x v="0"/>
    <x v="50"/>
  </r>
  <r>
    <x v="35"/>
    <x v="1"/>
    <x v="16"/>
    <x v="0"/>
    <x v="0"/>
    <x v="0"/>
    <x v="37"/>
    <x v="0"/>
    <x v="0"/>
    <x v="5"/>
  </r>
  <r>
    <x v="16"/>
    <x v="2"/>
    <x v="3"/>
    <x v="1"/>
    <x v="3"/>
    <x v="1"/>
    <x v="41"/>
    <x v="0"/>
    <x v="1"/>
    <x v="35"/>
  </r>
  <r>
    <x v="37"/>
    <x v="3"/>
    <x v="9"/>
    <x v="1"/>
    <x v="8"/>
    <x v="3"/>
    <x v="64"/>
    <x v="2"/>
    <x v="1"/>
    <x v="2"/>
  </r>
  <r>
    <x v="13"/>
    <x v="3"/>
    <x v="8"/>
    <x v="1"/>
    <x v="2"/>
    <x v="3"/>
    <x v="106"/>
    <x v="2"/>
    <x v="1"/>
    <x v="55"/>
  </r>
  <r>
    <x v="26"/>
    <x v="3"/>
    <x v="2"/>
    <x v="1"/>
    <x v="3"/>
    <x v="3"/>
    <x v="89"/>
    <x v="2"/>
    <x v="1"/>
    <x v="47"/>
  </r>
  <r>
    <x v="43"/>
    <x v="3"/>
    <x v="1"/>
    <x v="2"/>
    <x v="8"/>
    <x v="2"/>
    <x v="51"/>
    <x v="2"/>
    <x v="1"/>
    <x v="47"/>
  </r>
  <r>
    <x v="30"/>
    <x v="3"/>
    <x v="24"/>
    <x v="2"/>
    <x v="2"/>
    <x v="1"/>
    <x v="58"/>
    <x v="3"/>
    <x v="1"/>
    <x v="7"/>
  </r>
  <r>
    <x v="4"/>
    <x v="2"/>
    <x v="3"/>
    <x v="1"/>
    <x v="1"/>
    <x v="4"/>
    <x v="14"/>
    <x v="1"/>
    <x v="1"/>
    <x v="6"/>
  </r>
  <r>
    <x v="2"/>
    <x v="2"/>
    <x v="10"/>
    <x v="2"/>
    <x v="8"/>
    <x v="4"/>
    <x v="112"/>
    <x v="2"/>
    <x v="1"/>
    <x v="2"/>
  </r>
  <r>
    <x v="11"/>
    <x v="1"/>
    <x v="23"/>
    <x v="0"/>
    <x v="0"/>
    <x v="0"/>
    <x v="95"/>
    <x v="0"/>
    <x v="0"/>
    <x v="34"/>
  </r>
  <r>
    <x v="15"/>
    <x v="2"/>
    <x v="1"/>
    <x v="1"/>
    <x v="3"/>
    <x v="3"/>
    <x v="73"/>
    <x v="1"/>
    <x v="0"/>
    <x v="11"/>
  </r>
  <r>
    <x v="45"/>
    <x v="0"/>
    <x v="0"/>
    <x v="3"/>
    <x v="0"/>
    <x v="1"/>
    <x v="93"/>
    <x v="0"/>
    <x v="0"/>
    <x v="43"/>
  </r>
  <r>
    <x v="28"/>
    <x v="0"/>
    <x v="5"/>
    <x v="3"/>
    <x v="0"/>
    <x v="1"/>
    <x v="49"/>
    <x v="0"/>
    <x v="0"/>
    <x v="43"/>
  </r>
  <r>
    <x v="1"/>
    <x v="1"/>
    <x v="12"/>
    <x v="3"/>
    <x v="5"/>
    <x v="7"/>
    <x v="90"/>
    <x v="0"/>
    <x v="0"/>
    <x v="27"/>
  </r>
  <r>
    <x v="1"/>
    <x v="1"/>
    <x v="11"/>
    <x v="3"/>
    <x v="0"/>
    <x v="4"/>
    <x v="37"/>
    <x v="0"/>
    <x v="0"/>
    <x v="5"/>
  </r>
  <r>
    <x v="9"/>
    <x v="1"/>
    <x v="3"/>
    <x v="3"/>
    <x v="1"/>
    <x v="7"/>
    <x v="113"/>
    <x v="1"/>
    <x v="0"/>
    <x v="32"/>
  </r>
  <r>
    <x v="3"/>
    <x v="1"/>
    <x v="14"/>
    <x v="3"/>
    <x v="0"/>
    <x v="4"/>
    <x v="114"/>
    <x v="1"/>
    <x v="0"/>
    <x v="33"/>
  </r>
  <r>
    <x v="21"/>
    <x v="0"/>
    <x v="0"/>
    <x v="3"/>
    <x v="0"/>
    <x v="7"/>
    <x v="115"/>
    <x v="0"/>
    <x v="0"/>
    <x v="20"/>
  </r>
  <r>
    <x v="2"/>
    <x v="2"/>
    <x v="6"/>
    <x v="1"/>
    <x v="3"/>
    <x v="3"/>
    <x v="54"/>
    <x v="1"/>
    <x v="1"/>
    <x v="51"/>
  </r>
  <r>
    <x v="13"/>
    <x v="3"/>
    <x v="1"/>
    <x v="2"/>
    <x v="2"/>
    <x v="1"/>
    <x v="116"/>
    <x v="1"/>
    <x v="0"/>
    <x v="12"/>
  </r>
  <r>
    <x v="42"/>
    <x v="3"/>
    <x v="13"/>
    <x v="2"/>
    <x v="2"/>
    <x v="2"/>
    <x v="96"/>
    <x v="2"/>
    <x v="1"/>
    <x v="55"/>
  </r>
  <r>
    <x v="25"/>
    <x v="3"/>
    <x v="10"/>
    <x v="2"/>
    <x v="3"/>
    <x v="2"/>
    <x v="105"/>
    <x v="2"/>
    <x v="1"/>
    <x v="55"/>
  </r>
  <r>
    <x v="14"/>
    <x v="2"/>
    <x v="2"/>
    <x v="1"/>
    <x v="0"/>
    <x v="0"/>
    <x v="117"/>
    <x v="2"/>
    <x v="1"/>
    <x v="19"/>
  </r>
  <r>
    <x v="32"/>
    <x v="2"/>
    <x v="1"/>
    <x v="1"/>
    <x v="1"/>
    <x v="0"/>
    <x v="101"/>
    <x v="1"/>
    <x v="1"/>
    <x v="2"/>
  </r>
  <r>
    <x v="15"/>
    <x v="2"/>
    <x v="4"/>
    <x v="1"/>
    <x v="8"/>
    <x v="3"/>
    <x v="118"/>
    <x v="1"/>
    <x v="0"/>
    <x v="55"/>
  </r>
  <r>
    <x v="38"/>
    <x v="2"/>
    <x v="3"/>
    <x v="2"/>
    <x v="3"/>
    <x v="3"/>
    <x v="63"/>
    <x v="2"/>
    <x v="0"/>
    <x v="2"/>
  </r>
  <r>
    <x v="22"/>
    <x v="0"/>
    <x v="17"/>
    <x v="3"/>
    <x v="0"/>
    <x v="0"/>
    <x v="119"/>
    <x v="0"/>
    <x v="0"/>
    <x v="22"/>
  </r>
  <r>
    <x v="20"/>
    <x v="0"/>
    <x v="17"/>
    <x v="3"/>
    <x v="1"/>
    <x v="7"/>
    <x v="120"/>
    <x v="0"/>
    <x v="0"/>
    <x v="22"/>
  </r>
  <r>
    <x v="23"/>
    <x v="3"/>
    <x v="13"/>
    <x v="1"/>
    <x v="3"/>
    <x v="4"/>
    <x v="118"/>
    <x v="1"/>
    <x v="1"/>
    <x v="48"/>
  </r>
  <r>
    <x v="24"/>
    <x v="3"/>
    <x v="20"/>
    <x v="2"/>
    <x v="8"/>
    <x v="3"/>
    <x v="121"/>
    <x v="3"/>
    <x v="1"/>
    <x v="41"/>
  </r>
  <r>
    <x v="38"/>
    <x v="2"/>
    <x v="20"/>
    <x v="2"/>
    <x v="3"/>
    <x v="3"/>
    <x v="122"/>
    <x v="3"/>
    <x v="1"/>
    <x v="17"/>
  </r>
  <r>
    <x v="25"/>
    <x v="3"/>
    <x v="8"/>
    <x v="1"/>
    <x v="3"/>
    <x v="4"/>
    <x v="48"/>
    <x v="2"/>
    <x v="0"/>
    <x v="16"/>
  </r>
  <r>
    <x v="43"/>
    <x v="3"/>
    <x v="10"/>
    <x v="2"/>
    <x v="2"/>
    <x v="3"/>
    <x v="89"/>
    <x v="2"/>
    <x v="1"/>
    <x v="18"/>
  </r>
  <r>
    <x v="39"/>
    <x v="3"/>
    <x v="2"/>
    <x v="1"/>
    <x v="3"/>
    <x v="4"/>
    <x v="64"/>
    <x v="2"/>
    <x v="0"/>
    <x v="7"/>
  </r>
  <r>
    <x v="10"/>
    <x v="1"/>
    <x v="9"/>
    <x v="0"/>
    <x v="0"/>
    <x v="4"/>
    <x v="98"/>
    <x v="0"/>
    <x v="0"/>
    <x v="46"/>
  </r>
  <r>
    <x v="12"/>
    <x v="1"/>
    <x v="3"/>
    <x v="0"/>
    <x v="5"/>
    <x v="4"/>
    <x v="123"/>
    <x v="0"/>
    <x v="0"/>
    <x v="35"/>
  </r>
  <r>
    <x v="27"/>
    <x v="0"/>
    <x v="17"/>
    <x v="0"/>
    <x v="5"/>
    <x v="7"/>
    <x v="124"/>
    <x v="0"/>
    <x v="0"/>
    <x v="21"/>
  </r>
  <r>
    <x v="46"/>
    <x v="0"/>
    <x v="16"/>
    <x v="3"/>
    <x v="5"/>
    <x v="0"/>
    <x v="125"/>
    <x v="0"/>
    <x v="0"/>
    <x v="42"/>
  </r>
  <r>
    <x v="28"/>
    <x v="0"/>
    <x v="22"/>
    <x v="0"/>
    <x v="0"/>
    <x v="7"/>
    <x v="126"/>
    <x v="0"/>
    <x v="0"/>
    <x v="20"/>
  </r>
  <r>
    <x v="5"/>
    <x v="1"/>
    <x v="15"/>
    <x v="3"/>
    <x v="5"/>
    <x v="0"/>
    <x v="49"/>
    <x v="0"/>
    <x v="0"/>
    <x v="43"/>
  </r>
  <r>
    <x v="3"/>
    <x v="1"/>
    <x v="12"/>
    <x v="0"/>
    <x v="0"/>
    <x v="0"/>
    <x v="127"/>
    <x v="0"/>
    <x v="0"/>
    <x v="26"/>
  </r>
  <r>
    <x v="6"/>
    <x v="1"/>
    <x v="6"/>
    <x v="0"/>
    <x v="1"/>
    <x v="4"/>
    <x v="110"/>
    <x v="0"/>
    <x v="0"/>
    <x v="50"/>
  </r>
  <r>
    <x v="1"/>
    <x v="1"/>
    <x v="3"/>
    <x v="0"/>
    <x v="2"/>
    <x v="1"/>
    <x v="104"/>
    <x v="1"/>
    <x v="0"/>
    <x v="11"/>
  </r>
  <r>
    <x v="19"/>
    <x v="2"/>
    <x v="2"/>
    <x v="1"/>
    <x v="3"/>
    <x v="1"/>
    <x v="51"/>
    <x v="2"/>
    <x v="1"/>
    <x v="25"/>
  </r>
  <r>
    <x v="32"/>
    <x v="2"/>
    <x v="4"/>
    <x v="1"/>
    <x v="1"/>
    <x v="4"/>
    <x v="99"/>
    <x v="1"/>
    <x v="1"/>
    <x v="1"/>
  </r>
  <r>
    <x v="2"/>
    <x v="2"/>
    <x v="3"/>
    <x v="1"/>
    <x v="3"/>
    <x v="4"/>
    <x v="43"/>
    <x v="1"/>
    <x v="1"/>
    <x v="6"/>
  </r>
  <r>
    <x v="1"/>
    <x v="1"/>
    <x v="23"/>
    <x v="0"/>
    <x v="0"/>
    <x v="4"/>
    <x v="128"/>
    <x v="1"/>
    <x v="1"/>
    <x v="1"/>
  </r>
  <r>
    <x v="7"/>
    <x v="3"/>
    <x v="6"/>
    <x v="2"/>
    <x v="2"/>
    <x v="4"/>
    <x v="75"/>
    <x v="2"/>
    <x v="1"/>
    <x v="47"/>
  </r>
  <r>
    <x v="43"/>
    <x v="3"/>
    <x v="13"/>
    <x v="2"/>
    <x v="2"/>
    <x v="6"/>
    <x v="129"/>
    <x v="2"/>
    <x v="1"/>
    <x v="54"/>
  </r>
  <r>
    <x v="40"/>
    <x v="3"/>
    <x v="20"/>
    <x v="2"/>
    <x v="8"/>
    <x v="2"/>
    <x v="57"/>
    <x v="2"/>
    <x v="1"/>
    <x v="14"/>
  </r>
  <r>
    <x v="42"/>
    <x v="3"/>
    <x v="3"/>
    <x v="2"/>
    <x v="3"/>
    <x v="4"/>
    <x v="75"/>
    <x v="2"/>
    <x v="1"/>
    <x v="17"/>
  </r>
  <r>
    <x v="19"/>
    <x v="2"/>
    <x v="3"/>
    <x v="2"/>
    <x v="3"/>
    <x v="3"/>
    <x v="130"/>
    <x v="1"/>
    <x v="1"/>
    <x v="18"/>
  </r>
  <r>
    <x v="17"/>
    <x v="2"/>
    <x v="12"/>
    <x v="1"/>
    <x v="1"/>
    <x v="1"/>
    <x v="3"/>
    <x v="1"/>
    <x v="1"/>
    <x v="47"/>
  </r>
  <r>
    <x v="1"/>
    <x v="1"/>
    <x v="11"/>
    <x v="0"/>
    <x v="2"/>
    <x v="3"/>
    <x v="103"/>
    <x v="0"/>
    <x v="0"/>
    <x v="35"/>
  </r>
  <r>
    <x v="32"/>
    <x v="2"/>
    <x v="2"/>
    <x v="1"/>
    <x v="1"/>
    <x v="0"/>
    <x v="86"/>
    <x v="1"/>
    <x v="1"/>
    <x v="55"/>
  </r>
  <r>
    <x v="16"/>
    <x v="2"/>
    <x v="10"/>
    <x v="1"/>
    <x v="3"/>
    <x v="2"/>
    <x v="105"/>
    <x v="2"/>
    <x v="0"/>
    <x v="25"/>
  </r>
  <r>
    <x v="19"/>
    <x v="2"/>
    <x v="1"/>
    <x v="2"/>
    <x v="8"/>
    <x v="1"/>
    <x v="106"/>
    <x v="2"/>
    <x v="1"/>
    <x v="48"/>
  </r>
  <r>
    <x v="31"/>
    <x v="3"/>
    <x v="24"/>
    <x v="2"/>
    <x v="8"/>
    <x v="1"/>
    <x v="131"/>
    <x v="2"/>
    <x v="1"/>
    <x v="18"/>
  </r>
  <r>
    <x v="5"/>
    <x v="1"/>
    <x v="23"/>
    <x v="3"/>
    <x v="5"/>
    <x v="4"/>
    <x v="132"/>
    <x v="0"/>
    <x v="0"/>
    <x v="26"/>
  </r>
  <r>
    <x v="34"/>
    <x v="1"/>
    <x v="11"/>
    <x v="3"/>
    <x v="0"/>
    <x v="4"/>
    <x v="111"/>
    <x v="0"/>
    <x v="0"/>
    <x v="27"/>
  </r>
  <r>
    <x v="10"/>
    <x v="1"/>
    <x v="12"/>
    <x v="0"/>
    <x v="1"/>
    <x v="0"/>
    <x v="133"/>
    <x v="0"/>
    <x v="0"/>
    <x v="50"/>
  </r>
  <r>
    <x v="35"/>
    <x v="1"/>
    <x v="14"/>
    <x v="3"/>
    <x v="0"/>
    <x v="7"/>
    <x v="134"/>
    <x v="0"/>
    <x v="0"/>
    <x v="33"/>
  </r>
  <r>
    <x v="25"/>
    <x v="3"/>
    <x v="2"/>
    <x v="1"/>
    <x v="4"/>
    <x v="1"/>
    <x v="135"/>
    <x v="2"/>
    <x v="1"/>
    <x v="19"/>
  </r>
  <r>
    <x v="30"/>
    <x v="3"/>
    <x v="24"/>
    <x v="4"/>
    <x v="6"/>
    <x v="6"/>
    <x v="122"/>
    <x v="3"/>
    <x v="1"/>
    <x v="49"/>
  </r>
  <r>
    <x v="40"/>
    <x v="3"/>
    <x v="7"/>
    <x v="4"/>
    <x v="8"/>
    <x v="3"/>
    <x v="136"/>
    <x v="3"/>
    <x v="1"/>
    <x v="56"/>
  </r>
  <r>
    <x v="15"/>
    <x v="2"/>
    <x v="4"/>
    <x v="2"/>
    <x v="8"/>
    <x v="6"/>
    <x v="137"/>
    <x v="2"/>
    <x v="1"/>
    <x v="4"/>
  </r>
  <r>
    <x v="1"/>
    <x v="1"/>
    <x v="5"/>
    <x v="1"/>
    <x v="3"/>
    <x v="3"/>
    <x v="54"/>
    <x v="1"/>
    <x v="0"/>
    <x v="19"/>
  </r>
  <r>
    <x v="10"/>
    <x v="1"/>
    <x v="14"/>
    <x v="1"/>
    <x v="3"/>
    <x v="3"/>
    <x v="41"/>
    <x v="0"/>
    <x v="0"/>
    <x v="1"/>
  </r>
  <r>
    <x v="4"/>
    <x v="2"/>
    <x v="1"/>
    <x v="2"/>
    <x v="8"/>
    <x v="4"/>
    <x v="43"/>
    <x v="1"/>
    <x v="1"/>
    <x v="17"/>
  </r>
  <r>
    <x v="12"/>
    <x v="1"/>
    <x v="3"/>
    <x v="0"/>
    <x v="1"/>
    <x v="2"/>
    <x v="34"/>
    <x v="0"/>
    <x v="0"/>
    <x v="52"/>
  </r>
  <r>
    <x v="2"/>
    <x v="2"/>
    <x v="13"/>
    <x v="1"/>
    <x v="2"/>
    <x v="1"/>
    <x v="138"/>
    <x v="1"/>
    <x v="1"/>
    <x v="2"/>
  </r>
  <r>
    <x v="14"/>
    <x v="2"/>
    <x v="2"/>
    <x v="2"/>
    <x v="8"/>
    <x v="1"/>
    <x v="72"/>
    <x v="2"/>
    <x v="1"/>
    <x v="47"/>
  </r>
  <r>
    <x v="1"/>
    <x v="1"/>
    <x v="3"/>
    <x v="1"/>
    <x v="3"/>
    <x v="4"/>
    <x v="1"/>
    <x v="1"/>
    <x v="0"/>
    <x v="3"/>
  </r>
  <r>
    <x v="6"/>
    <x v="1"/>
    <x v="11"/>
    <x v="1"/>
    <x v="3"/>
    <x v="4"/>
    <x v="139"/>
    <x v="1"/>
    <x v="0"/>
    <x v="51"/>
  </r>
  <r>
    <x v="29"/>
    <x v="2"/>
    <x v="2"/>
    <x v="1"/>
    <x v="2"/>
    <x v="2"/>
    <x v="140"/>
    <x v="1"/>
    <x v="0"/>
    <x v="25"/>
  </r>
  <r>
    <x v="2"/>
    <x v="2"/>
    <x v="20"/>
    <x v="2"/>
    <x v="8"/>
    <x v="3"/>
    <x v="10"/>
    <x v="0"/>
    <x v="1"/>
    <x v="19"/>
  </r>
  <r>
    <x v="17"/>
    <x v="2"/>
    <x v="24"/>
    <x v="2"/>
    <x v="8"/>
    <x v="1"/>
    <x v="118"/>
    <x v="1"/>
    <x v="0"/>
    <x v="47"/>
  </r>
  <r>
    <x v="45"/>
    <x v="0"/>
    <x v="5"/>
    <x v="0"/>
    <x v="0"/>
    <x v="0"/>
    <x v="141"/>
    <x v="0"/>
    <x v="0"/>
    <x v="43"/>
  </r>
  <r>
    <x v="6"/>
    <x v="1"/>
    <x v="14"/>
    <x v="0"/>
    <x v="1"/>
    <x v="7"/>
    <x v="91"/>
    <x v="0"/>
    <x v="1"/>
    <x v="50"/>
  </r>
  <r>
    <x v="13"/>
    <x v="3"/>
    <x v="3"/>
    <x v="0"/>
    <x v="1"/>
    <x v="0"/>
    <x v="135"/>
    <x v="2"/>
    <x v="1"/>
    <x v="46"/>
  </r>
  <r>
    <x v="37"/>
    <x v="3"/>
    <x v="20"/>
    <x v="1"/>
    <x v="1"/>
    <x v="4"/>
    <x v="43"/>
    <x v="1"/>
    <x v="1"/>
    <x v="1"/>
  </r>
  <r>
    <x v="1"/>
    <x v="1"/>
    <x v="24"/>
    <x v="1"/>
    <x v="1"/>
    <x v="7"/>
    <x v="35"/>
    <x v="1"/>
    <x v="0"/>
    <x v="12"/>
  </r>
  <r>
    <x v="34"/>
    <x v="1"/>
    <x v="8"/>
    <x v="0"/>
    <x v="5"/>
    <x v="7"/>
    <x v="54"/>
    <x v="1"/>
    <x v="0"/>
    <x v="51"/>
  </r>
  <r>
    <x v="28"/>
    <x v="0"/>
    <x v="16"/>
    <x v="0"/>
    <x v="5"/>
    <x v="0"/>
    <x v="5"/>
    <x v="0"/>
    <x v="0"/>
    <x v="5"/>
  </r>
  <r>
    <x v="11"/>
    <x v="1"/>
    <x v="9"/>
    <x v="3"/>
    <x v="5"/>
    <x v="1"/>
    <x v="110"/>
    <x v="0"/>
    <x v="0"/>
    <x v="32"/>
  </r>
  <r>
    <x v="19"/>
    <x v="2"/>
    <x v="2"/>
    <x v="1"/>
    <x v="3"/>
    <x v="4"/>
    <x v="142"/>
    <x v="2"/>
    <x v="1"/>
    <x v="47"/>
  </r>
  <r>
    <x v="7"/>
    <x v="3"/>
    <x v="4"/>
    <x v="2"/>
    <x v="8"/>
    <x v="4"/>
    <x v="82"/>
    <x v="2"/>
    <x v="0"/>
    <x v="19"/>
  </r>
  <r>
    <x v="1"/>
    <x v="1"/>
    <x v="11"/>
    <x v="1"/>
    <x v="8"/>
    <x v="5"/>
    <x v="128"/>
    <x v="1"/>
    <x v="0"/>
    <x v="19"/>
  </r>
  <r>
    <x v="10"/>
    <x v="1"/>
    <x v="3"/>
    <x v="2"/>
    <x v="2"/>
    <x v="2"/>
    <x v="54"/>
    <x v="1"/>
    <x v="0"/>
    <x v="6"/>
  </r>
  <r>
    <x v="32"/>
    <x v="2"/>
    <x v="8"/>
    <x v="1"/>
    <x v="8"/>
    <x v="2"/>
    <x v="73"/>
    <x v="1"/>
    <x v="1"/>
    <x v="47"/>
  </r>
  <r>
    <x v="19"/>
    <x v="2"/>
    <x v="13"/>
    <x v="2"/>
    <x v="4"/>
    <x v="2"/>
    <x v="75"/>
    <x v="2"/>
    <x v="1"/>
    <x v="2"/>
  </r>
  <r>
    <x v="4"/>
    <x v="2"/>
    <x v="1"/>
    <x v="1"/>
    <x v="2"/>
    <x v="1"/>
    <x v="143"/>
    <x v="2"/>
    <x v="0"/>
    <x v="55"/>
  </r>
  <r>
    <x v="11"/>
    <x v="1"/>
    <x v="23"/>
    <x v="0"/>
    <x v="0"/>
    <x v="7"/>
    <x v="123"/>
    <x v="0"/>
    <x v="1"/>
    <x v="53"/>
  </r>
  <r>
    <x v="7"/>
    <x v="3"/>
    <x v="9"/>
    <x v="0"/>
    <x v="0"/>
    <x v="7"/>
    <x v="74"/>
    <x v="2"/>
    <x v="1"/>
    <x v="51"/>
  </r>
  <r>
    <x v="42"/>
    <x v="3"/>
    <x v="13"/>
    <x v="2"/>
    <x v="8"/>
    <x v="3"/>
    <x v="45"/>
    <x v="2"/>
    <x v="0"/>
    <x v="2"/>
  </r>
  <r>
    <x v="30"/>
    <x v="3"/>
    <x v="26"/>
    <x v="2"/>
    <x v="6"/>
    <x v="6"/>
    <x v="102"/>
    <x v="3"/>
    <x v="1"/>
    <x v="15"/>
  </r>
  <r>
    <x v="41"/>
    <x v="3"/>
    <x v="25"/>
    <x v="4"/>
    <x v="6"/>
    <x v="5"/>
    <x v="144"/>
    <x v="3"/>
    <x v="1"/>
    <x v="30"/>
  </r>
  <r>
    <x v="19"/>
    <x v="2"/>
    <x v="20"/>
    <x v="4"/>
    <x v="7"/>
    <x v="5"/>
    <x v="145"/>
    <x v="2"/>
    <x v="0"/>
    <x v="10"/>
  </r>
  <r>
    <x v="38"/>
    <x v="2"/>
    <x v="24"/>
    <x v="4"/>
    <x v="4"/>
    <x v="2"/>
    <x v="146"/>
    <x v="3"/>
    <x v="1"/>
    <x v="28"/>
  </r>
  <r>
    <x v="3"/>
    <x v="1"/>
    <x v="3"/>
    <x v="1"/>
    <x v="3"/>
    <x v="3"/>
    <x v="60"/>
    <x v="1"/>
    <x v="0"/>
    <x v="12"/>
  </r>
  <r>
    <x v="35"/>
    <x v="1"/>
    <x v="23"/>
    <x v="3"/>
    <x v="5"/>
    <x v="0"/>
    <x v="40"/>
    <x v="0"/>
    <x v="0"/>
    <x v="34"/>
  </r>
  <r>
    <x v="29"/>
    <x v="2"/>
    <x v="7"/>
    <x v="2"/>
    <x v="8"/>
    <x v="3"/>
    <x v="76"/>
    <x v="1"/>
    <x v="1"/>
    <x v="19"/>
  </r>
  <r>
    <x v="7"/>
    <x v="3"/>
    <x v="4"/>
    <x v="2"/>
    <x v="2"/>
    <x v="1"/>
    <x v="147"/>
    <x v="2"/>
    <x v="1"/>
    <x v="16"/>
  </r>
  <r>
    <x v="31"/>
    <x v="3"/>
    <x v="8"/>
    <x v="2"/>
    <x v="2"/>
    <x v="4"/>
    <x v="138"/>
    <x v="1"/>
    <x v="1"/>
    <x v="54"/>
  </r>
  <r>
    <x v="14"/>
    <x v="2"/>
    <x v="8"/>
    <x v="1"/>
    <x v="0"/>
    <x v="4"/>
    <x v="35"/>
    <x v="1"/>
    <x v="0"/>
    <x v="7"/>
  </r>
  <r>
    <x v="15"/>
    <x v="2"/>
    <x v="3"/>
    <x v="1"/>
    <x v="1"/>
    <x v="0"/>
    <x v="95"/>
    <x v="0"/>
    <x v="0"/>
    <x v="3"/>
  </r>
  <r>
    <x v="19"/>
    <x v="2"/>
    <x v="10"/>
    <x v="1"/>
    <x v="1"/>
    <x v="1"/>
    <x v="128"/>
    <x v="1"/>
    <x v="0"/>
    <x v="52"/>
  </r>
  <r>
    <x v="6"/>
    <x v="1"/>
    <x v="11"/>
    <x v="1"/>
    <x v="8"/>
    <x v="3"/>
    <x v="42"/>
    <x v="1"/>
    <x v="0"/>
    <x v="3"/>
  </r>
  <r>
    <x v="22"/>
    <x v="0"/>
    <x v="12"/>
    <x v="0"/>
    <x v="5"/>
    <x v="0"/>
    <x v="124"/>
    <x v="0"/>
    <x v="0"/>
    <x v="20"/>
  </r>
  <r>
    <x v="28"/>
    <x v="0"/>
    <x v="15"/>
    <x v="3"/>
    <x v="1"/>
    <x v="4"/>
    <x v="127"/>
    <x v="0"/>
    <x v="0"/>
    <x v="43"/>
  </r>
  <r>
    <x v="21"/>
    <x v="0"/>
    <x v="0"/>
    <x v="3"/>
    <x v="0"/>
    <x v="4"/>
    <x v="134"/>
    <x v="0"/>
    <x v="0"/>
    <x v="0"/>
  </r>
  <r>
    <x v="1"/>
    <x v="1"/>
    <x v="14"/>
    <x v="3"/>
    <x v="5"/>
    <x v="0"/>
    <x v="90"/>
    <x v="0"/>
    <x v="0"/>
    <x v="34"/>
  </r>
  <r>
    <x v="4"/>
    <x v="2"/>
    <x v="2"/>
    <x v="0"/>
    <x v="5"/>
    <x v="7"/>
    <x v="34"/>
    <x v="0"/>
    <x v="1"/>
    <x v="35"/>
  </r>
  <r>
    <x v="32"/>
    <x v="2"/>
    <x v="6"/>
    <x v="1"/>
    <x v="1"/>
    <x v="1"/>
    <x v="10"/>
    <x v="0"/>
    <x v="1"/>
    <x v="46"/>
  </r>
  <r>
    <x v="13"/>
    <x v="3"/>
    <x v="13"/>
    <x v="2"/>
    <x v="8"/>
    <x v="3"/>
    <x v="121"/>
    <x v="3"/>
    <x v="1"/>
    <x v="28"/>
  </r>
  <r>
    <x v="26"/>
    <x v="3"/>
    <x v="8"/>
    <x v="2"/>
    <x v="6"/>
    <x v="6"/>
    <x v="148"/>
    <x v="3"/>
    <x v="1"/>
    <x v="36"/>
  </r>
  <r>
    <x v="8"/>
    <x v="3"/>
    <x v="20"/>
    <x v="2"/>
    <x v="7"/>
    <x v="6"/>
    <x v="149"/>
    <x v="3"/>
    <x v="1"/>
    <x v="36"/>
  </r>
  <r>
    <x v="19"/>
    <x v="2"/>
    <x v="18"/>
    <x v="4"/>
    <x v="3"/>
    <x v="3"/>
    <x v="150"/>
    <x v="2"/>
    <x v="0"/>
    <x v="18"/>
  </r>
  <r>
    <x v="2"/>
    <x v="2"/>
    <x v="7"/>
    <x v="2"/>
    <x v="8"/>
    <x v="6"/>
    <x v="112"/>
    <x v="2"/>
    <x v="0"/>
    <x v="14"/>
  </r>
  <r>
    <x v="15"/>
    <x v="2"/>
    <x v="24"/>
    <x v="2"/>
    <x v="2"/>
    <x v="2"/>
    <x v="140"/>
    <x v="1"/>
    <x v="1"/>
    <x v="7"/>
  </r>
  <r>
    <x v="25"/>
    <x v="3"/>
    <x v="1"/>
    <x v="1"/>
    <x v="3"/>
    <x v="1"/>
    <x v="3"/>
    <x v="1"/>
    <x v="1"/>
    <x v="1"/>
  </r>
  <r>
    <x v="29"/>
    <x v="2"/>
    <x v="17"/>
    <x v="1"/>
    <x v="1"/>
    <x v="0"/>
    <x v="95"/>
    <x v="0"/>
    <x v="1"/>
    <x v="33"/>
  </r>
  <r>
    <x v="5"/>
    <x v="1"/>
    <x v="14"/>
    <x v="1"/>
    <x v="0"/>
    <x v="0"/>
    <x v="61"/>
    <x v="0"/>
    <x v="0"/>
    <x v="5"/>
  </r>
  <r>
    <x v="43"/>
    <x v="3"/>
    <x v="12"/>
    <x v="1"/>
    <x v="2"/>
    <x v="1"/>
    <x v="86"/>
    <x v="1"/>
    <x v="1"/>
    <x v="47"/>
  </r>
  <r>
    <x v="37"/>
    <x v="3"/>
    <x v="10"/>
    <x v="2"/>
    <x v="8"/>
    <x v="2"/>
    <x v="2"/>
    <x v="2"/>
    <x v="1"/>
    <x v="13"/>
  </r>
  <r>
    <x v="16"/>
    <x v="2"/>
    <x v="9"/>
    <x v="2"/>
    <x v="8"/>
    <x v="3"/>
    <x v="54"/>
    <x v="1"/>
    <x v="1"/>
    <x v="16"/>
  </r>
  <r>
    <x v="3"/>
    <x v="1"/>
    <x v="13"/>
    <x v="2"/>
    <x v="2"/>
    <x v="3"/>
    <x v="75"/>
    <x v="2"/>
    <x v="0"/>
    <x v="4"/>
  </r>
  <r>
    <x v="9"/>
    <x v="1"/>
    <x v="1"/>
    <x v="1"/>
    <x v="3"/>
    <x v="1"/>
    <x v="151"/>
    <x v="1"/>
    <x v="0"/>
    <x v="55"/>
  </r>
  <r>
    <x v="32"/>
    <x v="2"/>
    <x v="10"/>
    <x v="2"/>
    <x v="8"/>
    <x v="6"/>
    <x v="117"/>
    <x v="2"/>
    <x v="1"/>
    <x v="13"/>
  </r>
  <r>
    <x v="6"/>
    <x v="1"/>
    <x v="6"/>
    <x v="1"/>
    <x v="3"/>
    <x v="1"/>
    <x v="14"/>
    <x v="1"/>
    <x v="0"/>
    <x v="25"/>
  </r>
  <r>
    <x v="9"/>
    <x v="1"/>
    <x v="3"/>
    <x v="1"/>
    <x v="1"/>
    <x v="1"/>
    <x v="11"/>
    <x v="0"/>
    <x v="0"/>
    <x v="46"/>
  </r>
  <r>
    <x v="10"/>
    <x v="1"/>
    <x v="12"/>
    <x v="0"/>
    <x v="1"/>
    <x v="4"/>
    <x v="10"/>
    <x v="0"/>
    <x v="0"/>
    <x v="3"/>
  </r>
  <r>
    <x v="19"/>
    <x v="2"/>
    <x v="9"/>
    <x v="1"/>
    <x v="3"/>
    <x v="3"/>
    <x v="130"/>
    <x v="1"/>
    <x v="1"/>
    <x v="48"/>
  </r>
  <r>
    <x v="7"/>
    <x v="3"/>
    <x v="3"/>
    <x v="0"/>
    <x v="3"/>
    <x v="3"/>
    <x v="8"/>
    <x v="1"/>
    <x v="1"/>
    <x v="19"/>
  </r>
  <r>
    <x v="29"/>
    <x v="2"/>
    <x v="2"/>
    <x v="1"/>
    <x v="2"/>
    <x v="1"/>
    <x v="152"/>
    <x v="1"/>
    <x v="0"/>
    <x v="1"/>
  </r>
  <r>
    <x v="12"/>
    <x v="1"/>
    <x v="9"/>
    <x v="0"/>
    <x v="0"/>
    <x v="4"/>
    <x v="69"/>
    <x v="0"/>
    <x v="0"/>
    <x v="11"/>
  </r>
  <r>
    <x v="14"/>
    <x v="2"/>
    <x v="1"/>
    <x v="0"/>
    <x v="0"/>
    <x v="0"/>
    <x v="10"/>
    <x v="0"/>
    <x v="0"/>
    <x v="12"/>
  </r>
  <r>
    <x v="39"/>
    <x v="3"/>
    <x v="24"/>
    <x v="1"/>
    <x v="3"/>
    <x v="3"/>
    <x v="108"/>
    <x v="2"/>
    <x v="1"/>
    <x v="54"/>
  </r>
  <r>
    <x v="43"/>
    <x v="3"/>
    <x v="13"/>
    <x v="2"/>
    <x v="2"/>
    <x v="4"/>
    <x v="153"/>
    <x v="2"/>
    <x v="1"/>
    <x v="16"/>
  </r>
  <r>
    <x v="7"/>
    <x v="3"/>
    <x v="2"/>
    <x v="2"/>
    <x v="8"/>
    <x v="3"/>
    <x v="131"/>
    <x v="2"/>
    <x v="1"/>
    <x v="4"/>
  </r>
  <r>
    <x v="23"/>
    <x v="3"/>
    <x v="7"/>
    <x v="2"/>
    <x v="6"/>
    <x v="6"/>
    <x v="102"/>
    <x v="3"/>
    <x v="1"/>
    <x v="15"/>
  </r>
  <r>
    <x v="26"/>
    <x v="3"/>
    <x v="20"/>
    <x v="4"/>
    <x v="7"/>
    <x v="2"/>
    <x v="145"/>
    <x v="2"/>
    <x v="1"/>
    <x v="28"/>
  </r>
  <r>
    <x v="1"/>
    <x v="1"/>
    <x v="11"/>
    <x v="1"/>
    <x v="8"/>
    <x v="6"/>
    <x v="14"/>
    <x v="1"/>
    <x v="0"/>
    <x v="46"/>
  </r>
  <r>
    <x v="11"/>
    <x v="1"/>
    <x v="23"/>
    <x v="0"/>
    <x v="3"/>
    <x v="3"/>
    <x v="101"/>
    <x v="1"/>
    <x v="0"/>
    <x v="3"/>
  </r>
  <r>
    <x v="15"/>
    <x v="2"/>
    <x v="10"/>
    <x v="1"/>
    <x v="1"/>
    <x v="1"/>
    <x v="15"/>
    <x v="1"/>
    <x v="0"/>
    <x v="6"/>
  </r>
  <r>
    <x v="9"/>
    <x v="1"/>
    <x v="2"/>
    <x v="1"/>
    <x v="1"/>
    <x v="4"/>
    <x v="154"/>
    <x v="2"/>
    <x v="0"/>
    <x v="55"/>
  </r>
  <r>
    <x v="4"/>
    <x v="2"/>
    <x v="1"/>
    <x v="2"/>
    <x v="8"/>
    <x v="4"/>
    <x v="106"/>
    <x v="2"/>
    <x v="1"/>
    <x v="2"/>
  </r>
  <r>
    <x v="43"/>
    <x v="3"/>
    <x v="8"/>
    <x v="2"/>
    <x v="4"/>
    <x v="2"/>
    <x v="150"/>
    <x v="2"/>
    <x v="1"/>
    <x v="13"/>
  </r>
  <r>
    <x v="38"/>
    <x v="2"/>
    <x v="2"/>
    <x v="1"/>
    <x v="2"/>
    <x v="2"/>
    <x v="105"/>
    <x v="2"/>
    <x v="1"/>
    <x v="54"/>
  </r>
  <r>
    <x v="34"/>
    <x v="1"/>
    <x v="15"/>
    <x v="1"/>
    <x v="3"/>
    <x v="4"/>
    <x v="123"/>
    <x v="0"/>
    <x v="0"/>
    <x v="52"/>
  </r>
  <r>
    <x v="30"/>
    <x v="3"/>
    <x v="24"/>
    <x v="1"/>
    <x v="4"/>
    <x v="6"/>
    <x v="48"/>
    <x v="2"/>
    <x v="1"/>
    <x v="17"/>
  </r>
  <r>
    <x v="24"/>
    <x v="3"/>
    <x v="7"/>
    <x v="2"/>
    <x v="8"/>
    <x v="6"/>
    <x v="102"/>
    <x v="3"/>
    <x v="1"/>
    <x v="48"/>
  </r>
  <r>
    <x v="1"/>
    <x v="1"/>
    <x v="12"/>
    <x v="0"/>
    <x v="1"/>
    <x v="1"/>
    <x v="88"/>
    <x v="1"/>
    <x v="0"/>
    <x v="3"/>
  </r>
  <r>
    <x v="47"/>
    <x v="3"/>
    <x v="26"/>
    <x v="2"/>
    <x v="8"/>
    <x v="5"/>
    <x v="122"/>
    <x v="3"/>
    <x v="1"/>
    <x v="57"/>
  </r>
  <r>
    <x v="11"/>
    <x v="1"/>
    <x v="23"/>
    <x v="1"/>
    <x v="3"/>
    <x v="3"/>
    <x v="50"/>
    <x v="1"/>
    <x v="0"/>
    <x v="3"/>
  </r>
  <r>
    <x v="14"/>
    <x v="2"/>
    <x v="13"/>
    <x v="2"/>
    <x v="2"/>
    <x v="6"/>
    <x v="64"/>
    <x v="2"/>
    <x v="0"/>
    <x v="55"/>
  </r>
  <r>
    <x v="7"/>
    <x v="3"/>
    <x v="10"/>
    <x v="1"/>
    <x v="3"/>
    <x v="2"/>
    <x v="4"/>
    <x v="2"/>
    <x v="0"/>
    <x v="6"/>
  </r>
  <r>
    <x v="16"/>
    <x v="2"/>
    <x v="9"/>
    <x v="1"/>
    <x v="2"/>
    <x v="1"/>
    <x v="118"/>
    <x v="1"/>
    <x v="0"/>
    <x v="47"/>
  </r>
  <r>
    <x v="19"/>
    <x v="2"/>
    <x v="1"/>
    <x v="0"/>
    <x v="0"/>
    <x v="4"/>
    <x v="86"/>
    <x v="1"/>
    <x v="0"/>
    <x v="55"/>
  </r>
  <r>
    <x v="10"/>
    <x v="1"/>
    <x v="11"/>
    <x v="0"/>
    <x v="1"/>
    <x v="0"/>
    <x v="95"/>
    <x v="0"/>
    <x v="0"/>
    <x v="53"/>
  </r>
  <r>
    <x v="16"/>
    <x v="2"/>
    <x v="3"/>
    <x v="1"/>
    <x v="2"/>
    <x v="2"/>
    <x v="128"/>
    <x v="1"/>
    <x v="1"/>
    <x v="2"/>
  </r>
  <r>
    <x v="33"/>
    <x v="0"/>
    <x v="0"/>
    <x v="3"/>
    <x v="5"/>
    <x v="7"/>
    <x v="155"/>
    <x v="0"/>
    <x v="0"/>
    <x v="20"/>
  </r>
  <r>
    <x v="9"/>
    <x v="1"/>
    <x v="9"/>
    <x v="3"/>
    <x v="1"/>
    <x v="4"/>
    <x v="152"/>
    <x v="1"/>
    <x v="0"/>
    <x v="52"/>
  </r>
  <r>
    <x v="1"/>
    <x v="1"/>
    <x v="1"/>
    <x v="3"/>
    <x v="3"/>
    <x v="4"/>
    <x v="50"/>
    <x v="1"/>
    <x v="0"/>
    <x v="52"/>
  </r>
  <r>
    <x v="19"/>
    <x v="2"/>
    <x v="1"/>
    <x v="1"/>
    <x v="2"/>
    <x v="3"/>
    <x v="63"/>
    <x v="2"/>
    <x v="0"/>
    <x v="6"/>
  </r>
  <r>
    <x v="34"/>
    <x v="1"/>
    <x v="3"/>
    <x v="1"/>
    <x v="3"/>
    <x v="1"/>
    <x v="54"/>
    <x v="1"/>
    <x v="0"/>
    <x v="46"/>
  </r>
  <r>
    <x v="7"/>
    <x v="3"/>
    <x v="10"/>
    <x v="1"/>
    <x v="2"/>
    <x v="3"/>
    <x v="156"/>
    <x v="2"/>
    <x v="1"/>
    <x v="28"/>
  </r>
  <r>
    <x v="43"/>
    <x v="3"/>
    <x v="4"/>
    <x v="2"/>
    <x v="8"/>
    <x v="1"/>
    <x v="153"/>
    <x v="2"/>
    <x v="1"/>
    <x v="49"/>
  </r>
  <r>
    <x v="24"/>
    <x v="3"/>
    <x v="26"/>
    <x v="2"/>
    <x v="6"/>
    <x v="6"/>
    <x v="157"/>
    <x v="3"/>
    <x v="1"/>
    <x v="39"/>
  </r>
  <r>
    <x v="2"/>
    <x v="2"/>
    <x v="18"/>
    <x v="4"/>
    <x v="6"/>
    <x v="6"/>
    <x v="158"/>
    <x v="3"/>
    <x v="1"/>
    <x v="30"/>
  </r>
  <r>
    <x v="31"/>
    <x v="3"/>
    <x v="21"/>
    <x v="2"/>
    <x v="6"/>
    <x v="6"/>
    <x v="144"/>
    <x v="3"/>
    <x v="1"/>
    <x v="39"/>
  </r>
  <r>
    <x v="30"/>
    <x v="3"/>
    <x v="27"/>
    <x v="4"/>
    <x v="7"/>
    <x v="8"/>
    <x v="157"/>
    <x v="3"/>
    <x v="1"/>
    <x v="38"/>
  </r>
  <r>
    <x v="8"/>
    <x v="3"/>
    <x v="20"/>
    <x v="4"/>
    <x v="4"/>
    <x v="6"/>
    <x v="159"/>
    <x v="3"/>
    <x v="1"/>
    <x v="41"/>
  </r>
  <r>
    <x v="32"/>
    <x v="2"/>
    <x v="7"/>
    <x v="1"/>
    <x v="8"/>
    <x v="3"/>
    <x v="108"/>
    <x v="2"/>
    <x v="1"/>
    <x v="13"/>
  </r>
  <r>
    <x v="17"/>
    <x v="2"/>
    <x v="1"/>
    <x v="1"/>
    <x v="2"/>
    <x v="1"/>
    <x v="106"/>
    <x v="2"/>
    <x v="0"/>
    <x v="25"/>
  </r>
  <r>
    <x v="10"/>
    <x v="1"/>
    <x v="3"/>
    <x v="0"/>
    <x v="3"/>
    <x v="4"/>
    <x v="3"/>
    <x v="1"/>
    <x v="0"/>
    <x v="55"/>
  </r>
  <r>
    <x v="18"/>
    <x v="3"/>
    <x v="24"/>
    <x v="2"/>
    <x v="2"/>
    <x v="1"/>
    <x v="160"/>
    <x v="2"/>
    <x v="0"/>
    <x v="18"/>
  </r>
  <r>
    <x v="26"/>
    <x v="3"/>
    <x v="8"/>
    <x v="1"/>
    <x v="3"/>
    <x v="2"/>
    <x v="143"/>
    <x v="2"/>
    <x v="1"/>
    <x v="17"/>
  </r>
  <r>
    <x v="47"/>
    <x v="3"/>
    <x v="18"/>
    <x v="2"/>
    <x v="8"/>
    <x v="3"/>
    <x v="161"/>
    <x v="3"/>
    <x v="1"/>
    <x v="49"/>
  </r>
  <r>
    <x v="15"/>
    <x v="2"/>
    <x v="10"/>
    <x v="2"/>
    <x v="4"/>
    <x v="1"/>
    <x v="64"/>
    <x v="2"/>
    <x v="1"/>
    <x v="55"/>
  </r>
  <r>
    <x v="11"/>
    <x v="1"/>
    <x v="6"/>
    <x v="1"/>
    <x v="3"/>
    <x v="4"/>
    <x v="88"/>
    <x v="1"/>
    <x v="0"/>
    <x v="46"/>
  </r>
  <r>
    <x v="39"/>
    <x v="3"/>
    <x v="2"/>
    <x v="2"/>
    <x v="3"/>
    <x v="1"/>
    <x v="122"/>
    <x v="3"/>
    <x v="0"/>
    <x v="7"/>
  </r>
  <r>
    <x v="4"/>
    <x v="2"/>
    <x v="13"/>
    <x v="2"/>
    <x v="8"/>
    <x v="6"/>
    <x v="144"/>
    <x v="3"/>
    <x v="1"/>
    <x v="19"/>
  </r>
  <r>
    <x v="6"/>
    <x v="1"/>
    <x v="1"/>
    <x v="2"/>
    <x v="4"/>
    <x v="5"/>
    <x v="154"/>
    <x v="2"/>
    <x v="1"/>
    <x v="52"/>
  </r>
  <r>
    <x v="3"/>
    <x v="1"/>
    <x v="3"/>
    <x v="1"/>
    <x v="1"/>
    <x v="7"/>
    <x v="35"/>
    <x v="1"/>
    <x v="0"/>
    <x v="50"/>
  </r>
  <r>
    <x v="20"/>
    <x v="0"/>
    <x v="15"/>
    <x v="0"/>
    <x v="1"/>
    <x v="1"/>
    <x v="162"/>
    <x v="0"/>
    <x v="0"/>
    <x v="43"/>
  </r>
  <r>
    <x v="27"/>
    <x v="0"/>
    <x v="5"/>
    <x v="3"/>
    <x v="0"/>
    <x v="7"/>
    <x v="111"/>
    <x v="0"/>
    <x v="0"/>
    <x v="26"/>
  </r>
  <r>
    <x v="42"/>
    <x v="3"/>
    <x v="4"/>
    <x v="2"/>
    <x v="8"/>
    <x v="3"/>
    <x v="82"/>
    <x v="2"/>
    <x v="1"/>
    <x v="48"/>
  </r>
  <r>
    <x v="32"/>
    <x v="2"/>
    <x v="8"/>
    <x v="1"/>
    <x v="3"/>
    <x v="4"/>
    <x v="42"/>
    <x v="1"/>
    <x v="0"/>
    <x v="51"/>
  </r>
  <r>
    <x v="5"/>
    <x v="1"/>
    <x v="14"/>
    <x v="0"/>
    <x v="0"/>
    <x v="3"/>
    <x v="133"/>
    <x v="0"/>
    <x v="0"/>
    <x v="33"/>
  </r>
  <r>
    <x v="29"/>
    <x v="2"/>
    <x v="2"/>
    <x v="1"/>
    <x v="3"/>
    <x v="0"/>
    <x v="74"/>
    <x v="2"/>
    <x v="0"/>
    <x v="25"/>
  </r>
  <r>
    <x v="14"/>
    <x v="2"/>
    <x v="18"/>
    <x v="4"/>
    <x v="7"/>
    <x v="2"/>
    <x v="77"/>
    <x v="3"/>
    <x v="1"/>
    <x v="41"/>
  </r>
  <r>
    <x v="23"/>
    <x v="3"/>
    <x v="28"/>
    <x v="4"/>
    <x v="4"/>
    <x v="6"/>
    <x v="58"/>
    <x v="3"/>
    <x v="1"/>
    <x v="58"/>
  </r>
  <r>
    <x v="39"/>
    <x v="3"/>
    <x v="18"/>
    <x v="4"/>
    <x v="4"/>
    <x v="3"/>
    <x v="57"/>
    <x v="2"/>
    <x v="0"/>
    <x v="54"/>
  </r>
  <r>
    <x v="25"/>
    <x v="3"/>
    <x v="4"/>
    <x v="2"/>
    <x v="8"/>
    <x v="2"/>
    <x v="156"/>
    <x v="2"/>
    <x v="1"/>
    <x v="2"/>
  </r>
  <r>
    <x v="1"/>
    <x v="1"/>
    <x v="3"/>
    <x v="1"/>
    <x v="3"/>
    <x v="3"/>
    <x v="36"/>
    <x v="0"/>
    <x v="0"/>
    <x v="34"/>
  </r>
  <r>
    <x v="21"/>
    <x v="0"/>
    <x v="16"/>
    <x v="0"/>
    <x v="0"/>
    <x v="4"/>
    <x v="163"/>
    <x v="0"/>
    <x v="0"/>
    <x v="21"/>
  </r>
  <r>
    <x v="6"/>
    <x v="1"/>
    <x v="6"/>
    <x v="1"/>
    <x v="2"/>
    <x v="3"/>
    <x v="118"/>
    <x v="1"/>
    <x v="0"/>
    <x v="46"/>
  </r>
  <r>
    <x v="38"/>
    <x v="2"/>
    <x v="13"/>
    <x v="2"/>
    <x v="4"/>
    <x v="2"/>
    <x v="121"/>
    <x v="3"/>
    <x v="1"/>
    <x v="59"/>
  </r>
  <r>
    <x v="31"/>
    <x v="3"/>
    <x v="7"/>
    <x v="2"/>
    <x v="4"/>
    <x v="2"/>
    <x v="56"/>
    <x v="3"/>
    <x v="1"/>
    <x v="44"/>
  </r>
  <r>
    <x v="47"/>
    <x v="3"/>
    <x v="26"/>
    <x v="2"/>
    <x v="8"/>
    <x v="6"/>
    <x v="158"/>
    <x v="3"/>
    <x v="1"/>
    <x v="45"/>
  </r>
  <r>
    <x v="44"/>
    <x v="3"/>
    <x v="24"/>
    <x v="4"/>
    <x v="6"/>
    <x v="6"/>
    <x v="164"/>
    <x v="3"/>
    <x v="1"/>
    <x v="39"/>
  </r>
  <r>
    <x v="18"/>
    <x v="3"/>
    <x v="18"/>
    <x v="4"/>
    <x v="4"/>
    <x v="2"/>
    <x v="121"/>
    <x v="3"/>
    <x v="1"/>
    <x v="36"/>
  </r>
  <r>
    <x v="14"/>
    <x v="2"/>
    <x v="20"/>
    <x v="4"/>
    <x v="8"/>
    <x v="3"/>
    <x v="117"/>
    <x v="2"/>
    <x v="0"/>
    <x v="47"/>
  </r>
  <r>
    <x v="3"/>
    <x v="1"/>
    <x v="2"/>
    <x v="1"/>
    <x v="3"/>
    <x v="4"/>
    <x v="79"/>
    <x v="1"/>
    <x v="0"/>
    <x v="12"/>
  </r>
  <r>
    <x v="16"/>
    <x v="2"/>
    <x v="13"/>
    <x v="1"/>
    <x v="2"/>
    <x v="1"/>
    <x v="3"/>
    <x v="1"/>
    <x v="0"/>
    <x v="55"/>
  </r>
  <r>
    <x v="1"/>
    <x v="1"/>
    <x v="3"/>
    <x v="0"/>
    <x v="0"/>
    <x v="4"/>
    <x v="92"/>
    <x v="0"/>
    <x v="0"/>
    <x v="35"/>
  </r>
  <r>
    <x v="26"/>
    <x v="3"/>
    <x v="24"/>
    <x v="1"/>
    <x v="2"/>
    <x v="1"/>
    <x v="96"/>
    <x v="2"/>
    <x v="1"/>
    <x v="13"/>
  </r>
  <r>
    <x v="22"/>
    <x v="0"/>
    <x v="23"/>
    <x v="0"/>
    <x v="5"/>
    <x v="7"/>
    <x v="165"/>
    <x v="0"/>
    <x v="0"/>
    <x v="42"/>
  </r>
  <r>
    <x v="45"/>
    <x v="0"/>
    <x v="22"/>
    <x v="3"/>
    <x v="5"/>
    <x v="7"/>
    <x v="166"/>
    <x v="0"/>
    <x v="0"/>
    <x v="42"/>
  </r>
  <r>
    <x v="8"/>
    <x v="3"/>
    <x v="7"/>
    <x v="2"/>
    <x v="8"/>
    <x v="1"/>
    <x v="167"/>
    <x v="3"/>
    <x v="1"/>
    <x v="24"/>
  </r>
  <r>
    <x v="13"/>
    <x v="3"/>
    <x v="13"/>
    <x v="2"/>
    <x v="4"/>
    <x v="1"/>
    <x v="23"/>
    <x v="2"/>
    <x v="1"/>
    <x v="31"/>
  </r>
  <r>
    <x v="40"/>
    <x v="3"/>
    <x v="21"/>
    <x v="2"/>
    <x v="6"/>
    <x v="6"/>
    <x v="26"/>
    <x v="3"/>
    <x v="1"/>
    <x v="30"/>
  </r>
  <r>
    <x v="29"/>
    <x v="2"/>
    <x v="9"/>
    <x v="1"/>
    <x v="3"/>
    <x v="4"/>
    <x v="154"/>
    <x v="2"/>
    <x v="0"/>
    <x v="1"/>
  </r>
  <r>
    <x v="4"/>
    <x v="2"/>
    <x v="8"/>
    <x v="2"/>
    <x v="4"/>
    <x v="2"/>
    <x v="156"/>
    <x v="2"/>
    <x v="1"/>
    <x v="18"/>
  </r>
  <r>
    <x v="17"/>
    <x v="2"/>
    <x v="10"/>
    <x v="1"/>
    <x v="4"/>
    <x v="3"/>
    <x v="86"/>
    <x v="1"/>
    <x v="1"/>
    <x v="47"/>
  </r>
  <r>
    <x v="34"/>
    <x v="1"/>
    <x v="12"/>
    <x v="0"/>
    <x v="1"/>
    <x v="1"/>
    <x v="91"/>
    <x v="0"/>
    <x v="0"/>
    <x v="11"/>
  </r>
  <r>
    <x v="15"/>
    <x v="2"/>
    <x v="2"/>
    <x v="2"/>
    <x v="2"/>
    <x v="3"/>
    <x v="54"/>
    <x v="1"/>
    <x v="1"/>
    <x v="51"/>
  </r>
  <r>
    <x v="35"/>
    <x v="1"/>
    <x v="11"/>
    <x v="0"/>
    <x v="0"/>
    <x v="4"/>
    <x v="111"/>
    <x v="0"/>
    <x v="0"/>
    <x v="34"/>
  </r>
  <r>
    <x v="1"/>
    <x v="1"/>
    <x v="3"/>
    <x v="1"/>
    <x v="3"/>
    <x v="1"/>
    <x v="41"/>
    <x v="0"/>
    <x v="0"/>
    <x v="35"/>
  </r>
  <r>
    <x v="10"/>
    <x v="1"/>
    <x v="1"/>
    <x v="1"/>
    <x v="2"/>
    <x v="1"/>
    <x v="95"/>
    <x v="0"/>
    <x v="0"/>
    <x v="11"/>
  </r>
  <r>
    <x v="5"/>
    <x v="1"/>
    <x v="15"/>
    <x v="0"/>
    <x v="5"/>
    <x v="0"/>
    <x v="40"/>
    <x v="0"/>
    <x v="0"/>
    <x v="26"/>
  </r>
  <r>
    <x v="19"/>
    <x v="2"/>
    <x v="4"/>
    <x v="1"/>
    <x v="3"/>
    <x v="4"/>
    <x v="68"/>
    <x v="1"/>
    <x v="1"/>
    <x v="54"/>
  </r>
  <r>
    <x v="46"/>
    <x v="0"/>
    <x v="22"/>
    <x v="0"/>
    <x v="5"/>
    <x v="4"/>
    <x v="124"/>
    <x v="0"/>
    <x v="0"/>
    <x v="21"/>
  </r>
  <r>
    <x v="31"/>
    <x v="3"/>
    <x v="24"/>
    <x v="2"/>
    <x v="3"/>
    <x v="3"/>
    <x v="45"/>
    <x v="2"/>
    <x v="1"/>
    <x v="17"/>
  </r>
  <r>
    <x v="38"/>
    <x v="2"/>
    <x v="13"/>
    <x v="2"/>
    <x v="2"/>
    <x v="3"/>
    <x v="74"/>
    <x v="2"/>
    <x v="1"/>
    <x v="16"/>
  </r>
  <r>
    <x v="1"/>
    <x v="1"/>
    <x v="6"/>
    <x v="1"/>
    <x v="3"/>
    <x v="3"/>
    <x v="114"/>
    <x v="1"/>
    <x v="0"/>
    <x v="12"/>
  </r>
  <r>
    <x v="5"/>
    <x v="1"/>
    <x v="15"/>
    <x v="0"/>
    <x v="1"/>
    <x v="1"/>
    <x v="111"/>
    <x v="0"/>
    <x v="0"/>
    <x v="26"/>
  </r>
  <r>
    <x v="14"/>
    <x v="2"/>
    <x v="7"/>
    <x v="1"/>
    <x v="4"/>
    <x v="2"/>
    <x v="144"/>
    <x v="3"/>
    <x v="0"/>
    <x v="13"/>
  </r>
  <r>
    <x v="8"/>
    <x v="3"/>
    <x v="20"/>
    <x v="1"/>
    <x v="8"/>
    <x v="3"/>
    <x v="168"/>
    <x v="3"/>
    <x v="1"/>
    <x v="10"/>
  </r>
  <r>
    <x v="3"/>
    <x v="1"/>
    <x v="4"/>
    <x v="0"/>
    <x v="2"/>
    <x v="2"/>
    <x v="48"/>
    <x v="2"/>
    <x v="0"/>
    <x v="14"/>
  </r>
  <r>
    <x v="23"/>
    <x v="3"/>
    <x v="24"/>
    <x v="1"/>
    <x v="8"/>
    <x v="4"/>
    <x v="146"/>
    <x v="3"/>
    <x v="0"/>
    <x v="28"/>
  </r>
  <r>
    <x v="47"/>
    <x v="3"/>
    <x v="7"/>
    <x v="1"/>
    <x v="4"/>
    <x v="4"/>
    <x v="161"/>
    <x v="3"/>
    <x v="0"/>
    <x v="41"/>
  </r>
  <r>
    <x v="26"/>
    <x v="3"/>
    <x v="18"/>
    <x v="4"/>
    <x v="4"/>
    <x v="2"/>
    <x v="48"/>
    <x v="2"/>
    <x v="1"/>
    <x v="14"/>
  </r>
  <r>
    <x v="39"/>
    <x v="3"/>
    <x v="26"/>
    <x v="4"/>
    <x v="2"/>
    <x v="4"/>
    <x v="164"/>
    <x v="3"/>
    <x v="1"/>
    <x v="15"/>
  </r>
  <r>
    <x v="32"/>
    <x v="2"/>
    <x v="27"/>
    <x v="2"/>
    <x v="8"/>
    <x v="5"/>
    <x v="153"/>
    <x v="2"/>
    <x v="1"/>
    <x v="36"/>
  </r>
  <r>
    <x v="4"/>
    <x v="2"/>
    <x v="8"/>
    <x v="0"/>
    <x v="8"/>
    <x v="6"/>
    <x v="58"/>
    <x v="3"/>
    <x v="0"/>
    <x v="49"/>
  </r>
  <r>
    <x v="15"/>
    <x v="2"/>
    <x v="7"/>
    <x v="1"/>
    <x v="2"/>
    <x v="6"/>
    <x v="169"/>
    <x v="3"/>
    <x v="0"/>
    <x v="30"/>
  </r>
  <r>
    <x v="6"/>
    <x v="1"/>
    <x v="3"/>
    <x v="0"/>
    <x v="3"/>
    <x v="4"/>
    <x v="170"/>
    <x v="2"/>
    <x v="0"/>
    <x v="2"/>
  </r>
  <r>
    <x v="11"/>
    <x v="1"/>
    <x v="10"/>
    <x v="0"/>
    <x v="1"/>
    <x v="0"/>
    <x v="99"/>
    <x v="1"/>
    <x v="0"/>
    <x v="1"/>
  </r>
  <r>
    <x v="38"/>
    <x v="2"/>
    <x v="2"/>
    <x v="1"/>
    <x v="1"/>
    <x v="2"/>
    <x v="23"/>
    <x v="2"/>
    <x v="1"/>
    <x v="4"/>
  </r>
  <r>
    <x v="2"/>
    <x v="2"/>
    <x v="4"/>
    <x v="1"/>
    <x v="3"/>
    <x v="6"/>
    <x v="136"/>
    <x v="3"/>
    <x v="1"/>
    <x v="10"/>
  </r>
  <r>
    <x v="37"/>
    <x v="3"/>
    <x v="11"/>
    <x v="2"/>
    <x v="8"/>
    <x v="4"/>
    <x v="57"/>
    <x v="2"/>
    <x v="1"/>
    <x v="56"/>
  </r>
  <r>
    <x v="7"/>
    <x v="3"/>
    <x v="8"/>
    <x v="2"/>
    <x v="4"/>
    <x v="1"/>
    <x v="107"/>
    <x v="3"/>
    <x v="0"/>
    <x v="28"/>
  </r>
  <r>
    <x v="30"/>
    <x v="3"/>
    <x v="24"/>
    <x v="1"/>
    <x v="4"/>
    <x v="3"/>
    <x v="171"/>
    <x v="3"/>
    <x v="1"/>
    <x v="38"/>
  </r>
  <r>
    <x v="6"/>
    <x v="1"/>
    <x v="12"/>
    <x v="1"/>
    <x v="2"/>
    <x v="0"/>
    <x v="172"/>
    <x v="1"/>
    <x v="0"/>
    <x v="51"/>
  </r>
  <r>
    <x v="3"/>
    <x v="1"/>
    <x v="12"/>
    <x v="0"/>
    <x v="3"/>
    <x v="2"/>
    <x v="34"/>
    <x v="0"/>
    <x v="0"/>
    <x v="55"/>
  </r>
  <r>
    <x v="20"/>
    <x v="0"/>
    <x v="16"/>
    <x v="3"/>
    <x v="0"/>
    <x v="7"/>
    <x v="162"/>
    <x v="0"/>
    <x v="0"/>
    <x v="20"/>
  </r>
  <r>
    <x v="10"/>
    <x v="1"/>
    <x v="14"/>
    <x v="3"/>
    <x v="1"/>
    <x v="7"/>
    <x v="70"/>
    <x v="0"/>
    <x v="0"/>
    <x v="26"/>
  </r>
  <r>
    <x v="9"/>
    <x v="1"/>
    <x v="11"/>
    <x v="3"/>
    <x v="1"/>
    <x v="7"/>
    <x v="173"/>
    <x v="0"/>
    <x v="0"/>
    <x v="0"/>
  </r>
  <r>
    <x v="19"/>
    <x v="2"/>
    <x v="10"/>
    <x v="1"/>
    <x v="2"/>
    <x v="7"/>
    <x v="140"/>
    <x v="1"/>
    <x v="1"/>
    <x v="47"/>
  </r>
  <r>
    <x v="25"/>
    <x v="3"/>
    <x v="7"/>
    <x v="1"/>
    <x v="3"/>
    <x v="7"/>
    <x v="86"/>
    <x v="1"/>
    <x v="0"/>
    <x v="47"/>
  </r>
  <r>
    <x v="2"/>
    <x v="2"/>
    <x v="4"/>
    <x v="2"/>
    <x v="4"/>
    <x v="0"/>
    <x v="152"/>
    <x v="1"/>
    <x v="1"/>
    <x v="48"/>
  </r>
  <r>
    <x v="22"/>
    <x v="0"/>
    <x v="5"/>
    <x v="3"/>
    <x v="5"/>
    <x v="0"/>
    <x v="98"/>
    <x v="0"/>
    <x v="0"/>
    <x v="21"/>
  </r>
  <r>
    <x v="14"/>
    <x v="2"/>
    <x v="2"/>
    <x v="1"/>
    <x v="1"/>
    <x v="1"/>
    <x v="153"/>
    <x v="2"/>
    <x v="0"/>
    <x v="25"/>
  </r>
  <r>
    <x v="29"/>
    <x v="2"/>
    <x v="12"/>
    <x v="2"/>
    <x v="3"/>
    <x v="1"/>
    <x v="68"/>
    <x v="1"/>
    <x v="0"/>
    <x v="55"/>
  </r>
  <r>
    <x v="1"/>
    <x v="1"/>
    <x v="12"/>
    <x v="0"/>
    <x v="0"/>
    <x v="4"/>
    <x v="36"/>
    <x v="0"/>
    <x v="0"/>
    <x v="33"/>
  </r>
  <r>
    <x v="2"/>
    <x v="2"/>
    <x v="11"/>
    <x v="0"/>
    <x v="1"/>
    <x v="7"/>
    <x v="118"/>
    <x v="1"/>
    <x v="1"/>
    <x v="47"/>
  </r>
  <r>
    <x v="42"/>
    <x v="3"/>
    <x v="4"/>
    <x v="1"/>
    <x v="3"/>
    <x v="3"/>
    <x v="4"/>
    <x v="2"/>
    <x v="1"/>
    <x v="18"/>
  </r>
  <r>
    <x v="37"/>
    <x v="3"/>
    <x v="13"/>
    <x v="2"/>
    <x v="8"/>
    <x v="4"/>
    <x v="136"/>
    <x v="3"/>
    <x v="1"/>
    <x v="40"/>
  </r>
  <r>
    <x v="25"/>
    <x v="3"/>
    <x v="3"/>
    <x v="4"/>
    <x v="6"/>
    <x v="4"/>
    <x v="174"/>
    <x v="3"/>
    <x v="0"/>
    <x v="28"/>
  </r>
  <r>
    <x v="15"/>
    <x v="2"/>
    <x v="10"/>
    <x v="4"/>
    <x v="6"/>
    <x v="1"/>
    <x v="121"/>
    <x v="3"/>
    <x v="0"/>
    <x v="14"/>
  </r>
  <r>
    <x v="17"/>
    <x v="2"/>
    <x v="3"/>
    <x v="4"/>
    <x v="8"/>
    <x v="1"/>
    <x v="118"/>
    <x v="1"/>
    <x v="0"/>
    <x v="54"/>
  </r>
  <r>
    <x v="19"/>
    <x v="2"/>
    <x v="13"/>
    <x v="2"/>
    <x v="6"/>
    <x v="3"/>
    <x v="63"/>
    <x v="2"/>
    <x v="1"/>
    <x v="16"/>
  </r>
  <r>
    <x v="43"/>
    <x v="3"/>
    <x v="2"/>
    <x v="2"/>
    <x v="8"/>
    <x v="5"/>
    <x v="175"/>
    <x v="3"/>
    <x v="1"/>
    <x v="31"/>
  </r>
  <r>
    <x v="33"/>
    <x v="0"/>
    <x v="12"/>
    <x v="4"/>
    <x v="6"/>
    <x v="3"/>
    <x v="50"/>
    <x v="1"/>
    <x v="0"/>
    <x v="46"/>
  </r>
  <r>
    <x v="28"/>
    <x v="0"/>
    <x v="15"/>
    <x v="0"/>
    <x v="0"/>
    <x v="0"/>
    <x v="93"/>
    <x v="0"/>
    <x v="0"/>
    <x v="0"/>
  </r>
  <r>
    <x v="6"/>
    <x v="1"/>
    <x v="14"/>
    <x v="3"/>
    <x v="0"/>
    <x v="0"/>
    <x v="37"/>
    <x v="0"/>
    <x v="0"/>
    <x v="32"/>
  </r>
  <r>
    <x v="1"/>
    <x v="1"/>
    <x v="23"/>
    <x v="3"/>
    <x v="1"/>
    <x v="7"/>
    <x v="176"/>
    <x v="0"/>
    <x v="0"/>
    <x v="0"/>
  </r>
  <r>
    <x v="12"/>
    <x v="1"/>
    <x v="15"/>
    <x v="3"/>
    <x v="0"/>
    <x v="7"/>
    <x v="90"/>
    <x v="0"/>
    <x v="0"/>
    <x v="26"/>
  </r>
  <r>
    <x v="11"/>
    <x v="1"/>
    <x v="0"/>
    <x v="0"/>
    <x v="5"/>
    <x v="7"/>
    <x v="177"/>
    <x v="0"/>
    <x v="0"/>
    <x v="43"/>
  </r>
  <r>
    <x v="29"/>
    <x v="2"/>
    <x v="9"/>
    <x v="1"/>
    <x v="3"/>
    <x v="7"/>
    <x v="104"/>
    <x v="1"/>
    <x v="0"/>
    <x v="11"/>
  </r>
  <r>
    <x v="19"/>
    <x v="2"/>
    <x v="6"/>
    <x v="2"/>
    <x v="8"/>
    <x v="4"/>
    <x v="34"/>
    <x v="0"/>
    <x v="1"/>
    <x v="3"/>
  </r>
  <r>
    <x v="38"/>
    <x v="2"/>
    <x v="7"/>
    <x v="1"/>
    <x v="3"/>
    <x v="0"/>
    <x v="110"/>
    <x v="0"/>
    <x v="1"/>
    <x v="46"/>
  </r>
  <r>
    <x v="29"/>
    <x v="2"/>
    <x v="12"/>
    <x v="0"/>
    <x v="2"/>
    <x v="0"/>
    <x v="178"/>
    <x v="1"/>
    <x v="0"/>
    <x v="35"/>
  </r>
  <r>
    <x v="1"/>
    <x v="1"/>
    <x v="23"/>
    <x v="0"/>
    <x v="0"/>
    <x v="0"/>
    <x v="176"/>
    <x v="0"/>
    <x v="0"/>
    <x v="34"/>
  </r>
  <r>
    <x v="12"/>
    <x v="1"/>
    <x v="15"/>
    <x v="0"/>
    <x v="5"/>
    <x v="1"/>
    <x v="19"/>
    <x v="0"/>
    <x v="0"/>
    <x v="43"/>
  </r>
  <r>
    <x v="16"/>
    <x v="2"/>
    <x v="4"/>
    <x v="1"/>
    <x v="8"/>
    <x v="4"/>
    <x v="54"/>
    <x v="1"/>
    <x v="0"/>
    <x v="55"/>
  </r>
  <r>
    <x v="25"/>
    <x v="3"/>
    <x v="13"/>
    <x v="2"/>
    <x v="2"/>
    <x v="1"/>
    <x v="145"/>
    <x v="2"/>
    <x v="1"/>
    <x v="47"/>
  </r>
  <r>
    <x v="43"/>
    <x v="3"/>
    <x v="8"/>
    <x v="2"/>
    <x v="6"/>
    <x v="2"/>
    <x v="144"/>
    <x v="3"/>
    <x v="1"/>
    <x v="49"/>
  </r>
  <r>
    <x v="30"/>
    <x v="3"/>
    <x v="24"/>
    <x v="2"/>
    <x v="4"/>
    <x v="6"/>
    <x v="58"/>
    <x v="3"/>
    <x v="1"/>
    <x v="58"/>
  </r>
  <r>
    <x v="24"/>
    <x v="3"/>
    <x v="20"/>
    <x v="4"/>
    <x v="4"/>
    <x v="5"/>
    <x v="179"/>
    <x v="3"/>
    <x v="1"/>
    <x v="60"/>
  </r>
  <r>
    <x v="19"/>
    <x v="2"/>
    <x v="24"/>
    <x v="4"/>
    <x v="2"/>
    <x v="3"/>
    <x v="130"/>
    <x v="1"/>
    <x v="0"/>
    <x v="48"/>
  </r>
  <r>
    <x v="35"/>
    <x v="1"/>
    <x v="23"/>
    <x v="0"/>
    <x v="1"/>
    <x v="1"/>
    <x v="49"/>
    <x v="0"/>
    <x v="0"/>
    <x v="34"/>
  </r>
  <r>
    <x v="16"/>
    <x v="2"/>
    <x v="13"/>
    <x v="0"/>
    <x v="1"/>
    <x v="0"/>
    <x v="50"/>
    <x v="1"/>
    <x v="0"/>
    <x v="51"/>
  </r>
  <r>
    <x v="39"/>
    <x v="3"/>
    <x v="8"/>
    <x v="1"/>
    <x v="8"/>
    <x v="6"/>
    <x v="153"/>
    <x v="2"/>
    <x v="0"/>
    <x v="7"/>
  </r>
  <r>
    <x v="13"/>
    <x v="3"/>
    <x v="13"/>
    <x v="0"/>
    <x v="2"/>
    <x v="3"/>
    <x v="169"/>
    <x v="3"/>
    <x v="1"/>
    <x v="13"/>
  </r>
  <r>
    <x v="31"/>
    <x v="3"/>
    <x v="1"/>
    <x v="1"/>
    <x v="3"/>
    <x v="3"/>
    <x v="102"/>
    <x v="3"/>
    <x v="1"/>
    <x v="41"/>
  </r>
  <r>
    <x v="23"/>
    <x v="3"/>
    <x v="21"/>
    <x v="2"/>
    <x v="4"/>
    <x v="3"/>
    <x v="180"/>
    <x v="3"/>
    <x v="1"/>
    <x v="9"/>
  </r>
  <r>
    <x v="43"/>
    <x v="3"/>
    <x v="26"/>
    <x v="0"/>
    <x v="2"/>
    <x v="0"/>
    <x v="96"/>
    <x v="2"/>
    <x v="1"/>
    <x v="15"/>
  </r>
  <r>
    <x v="4"/>
    <x v="2"/>
    <x v="20"/>
    <x v="0"/>
    <x v="3"/>
    <x v="0"/>
    <x v="138"/>
    <x v="1"/>
    <x v="0"/>
    <x v="47"/>
  </r>
  <r>
    <x v="17"/>
    <x v="2"/>
    <x v="7"/>
    <x v="3"/>
    <x v="3"/>
    <x v="7"/>
    <x v="68"/>
    <x v="1"/>
    <x v="0"/>
    <x v="12"/>
  </r>
  <r>
    <x v="9"/>
    <x v="1"/>
    <x v="3"/>
    <x v="0"/>
    <x v="1"/>
    <x v="7"/>
    <x v="62"/>
    <x v="1"/>
    <x v="0"/>
    <x v="52"/>
  </r>
  <r>
    <x v="34"/>
    <x v="1"/>
    <x v="14"/>
    <x v="0"/>
    <x v="1"/>
    <x v="1"/>
    <x v="37"/>
    <x v="0"/>
    <x v="0"/>
    <x v="33"/>
  </r>
  <r>
    <x v="29"/>
    <x v="2"/>
    <x v="3"/>
    <x v="3"/>
    <x v="1"/>
    <x v="4"/>
    <x v="181"/>
    <x v="0"/>
    <x v="0"/>
    <x v="32"/>
  </r>
  <r>
    <x v="14"/>
    <x v="2"/>
    <x v="4"/>
    <x v="1"/>
    <x v="4"/>
    <x v="4"/>
    <x v="142"/>
    <x v="2"/>
    <x v="1"/>
    <x v="18"/>
  </r>
  <r>
    <x v="11"/>
    <x v="1"/>
    <x v="15"/>
    <x v="0"/>
    <x v="1"/>
    <x v="0"/>
    <x v="81"/>
    <x v="0"/>
    <x v="0"/>
    <x v="5"/>
  </r>
  <r>
    <x v="2"/>
    <x v="2"/>
    <x v="8"/>
    <x v="2"/>
    <x v="1"/>
    <x v="1"/>
    <x v="137"/>
    <x v="2"/>
    <x v="1"/>
    <x v="54"/>
  </r>
  <r>
    <x v="7"/>
    <x v="3"/>
    <x v="13"/>
    <x v="0"/>
    <x v="2"/>
    <x v="2"/>
    <x v="146"/>
    <x v="3"/>
    <x v="0"/>
    <x v="54"/>
  </r>
  <r>
    <x v="26"/>
    <x v="3"/>
    <x v="7"/>
    <x v="1"/>
    <x v="3"/>
    <x v="2"/>
    <x v="58"/>
    <x v="3"/>
    <x v="1"/>
    <x v="49"/>
  </r>
  <r>
    <x v="31"/>
    <x v="3"/>
    <x v="2"/>
    <x v="1"/>
    <x v="8"/>
    <x v="6"/>
    <x v="64"/>
    <x v="2"/>
    <x v="1"/>
    <x v="13"/>
  </r>
  <r>
    <x v="37"/>
    <x v="3"/>
    <x v="13"/>
    <x v="0"/>
    <x v="3"/>
    <x v="6"/>
    <x v="150"/>
    <x v="2"/>
    <x v="1"/>
    <x v="4"/>
  </r>
  <r>
    <x v="17"/>
    <x v="2"/>
    <x v="4"/>
    <x v="1"/>
    <x v="1"/>
    <x v="0"/>
    <x v="147"/>
    <x v="2"/>
    <x v="0"/>
    <x v="47"/>
  </r>
  <r>
    <x v="10"/>
    <x v="1"/>
    <x v="3"/>
    <x v="0"/>
    <x v="0"/>
    <x v="4"/>
    <x v="60"/>
    <x v="1"/>
    <x v="0"/>
    <x v="46"/>
  </r>
  <r>
    <x v="6"/>
    <x v="1"/>
    <x v="8"/>
    <x v="1"/>
    <x v="3"/>
    <x v="4"/>
    <x v="103"/>
    <x v="0"/>
    <x v="0"/>
    <x v="3"/>
  </r>
  <r>
    <x v="9"/>
    <x v="1"/>
    <x v="1"/>
    <x v="0"/>
    <x v="2"/>
    <x v="2"/>
    <x v="72"/>
    <x v="2"/>
    <x v="0"/>
    <x v="12"/>
  </r>
  <r>
    <x v="12"/>
    <x v="1"/>
    <x v="23"/>
    <x v="0"/>
    <x v="1"/>
    <x v="2"/>
    <x v="88"/>
    <x v="1"/>
    <x v="0"/>
    <x v="53"/>
  </r>
  <r>
    <x v="31"/>
    <x v="3"/>
    <x v="4"/>
    <x v="3"/>
    <x v="5"/>
    <x v="3"/>
    <x v="55"/>
    <x v="3"/>
    <x v="1"/>
    <x v="47"/>
  </r>
  <r>
    <x v="15"/>
    <x v="2"/>
    <x v="10"/>
    <x v="1"/>
    <x v="3"/>
    <x v="3"/>
    <x v="122"/>
    <x v="3"/>
    <x v="0"/>
    <x v="55"/>
  </r>
  <r>
    <x v="14"/>
    <x v="2"/>
    <x v="7"/>
    <x v="2"/>
    <x v="8"/>
    <x v="1"/>
    <x v="74"/>
    <x v="2"/>
    <x v="0"/>
    <x v="19"/>
  </r>
  <r>
    <x v="16"/>
    <x v="2"/>
    <x v="8"/>
    <x v="1"/>
    <x v="8"/>
    <x v="2"/>
    <x v="135"/>
    <x v="2"/>
    <x v="1"/>
    <x v="7"/>
  </r>
  <r>
    <x v="11"/>
    <x v="1"/>
    <x v="5"/>
    <x v="0"/>
    <x v="3"/>
    <x v="4"/>
    <x v="123"/>
    <x v="0"/>
    <x v="1"/>
    <x v="46"/>
  </r>
  <r>
    <x v="3"/>
    <x v="1"/>
    <x v="12"/>
    <x v="1"/>
    <x v="2"/>
    <x v="4"/>
    <x v="76"/>
    <x v="1"/>
    <x v="0"/>
    <x v="1"/>
  </r>
  <r>
    <x v="8"/>
    <x v="3"/>
    <x v="3"/>
    <x v="1"/>
    <x v="1"/>
    <x v="0"/>
    <x v="15"/>
    <x v="1"/>
    <x v="1"/>
    <x v="4"/>
  </r>
  <r>
    <x v="13"/>
    <x v="3"/>
    <x v="13"/>
    <x v="2"/>
    <x v="8"/>
    <x v="0"/>
    <x v="64"/>
    <x v="2"/>
    <x v="0"/>
    <x v="54"/>
  </r>
  <r>
    <x v="47"/>
    <x v="3"/>
    <x v="20"/>
    <x v="0"/>
    <x v="2"/>
    <x v="1"/>
    <x v="182"/>
    <x v="3"/>
    <x v="1"/>
    <x v="15"/>
  </r>
  <r>
    <x v="23"/>
    <x v="3"/>
    <x v="7"/>
    <x v="0"/>
    <x v="8"/>
    <x v="0"/>
    <x v="183"/>
    <x v="3"/>
    <x v="0"/>
    <x v="31"/>
  </r>
  <r>
    <x v="26"/>
    <x v="3"/>
    <x v="25"/>
    <x v="2"/>
    <x v="2"/>
    <x v="5"/>
    <x v="45"/>
    <x v="2"/>
    <x v="0"/>
    <x v="13"/>
  </r>
  <r>
    <x v="39"/>
    <x v="3"/>
    <x v="20"/>
    <x v="1"/>
    <x v="8"/>
    <x v="6"/>
    <x v="75"/>
    <x v="2"/>
    <x v="0"/>
    <x v="7"/>
  </r>
  <r>
    <x v="33"/>
    <x v="0"/>
    <x v="9"/>
    <x v="3"/>
    <x v="0"/>
    <x v="4"/>
    <x v="34"/>
    <x v="0"/>
    <x v="0"/>
    <x v="32"/>
  </r>
  <r>
    <x v="0"/>
    <x v="0"/>
    <x v="22"/>
    <x v="3"/>
    <x v="5"/>
    <x v="7"/>
    <x v="120"/>
    <x v="0"/>
    <x v="0"/>
    <x v="42"/>
  </r>
  <r>
    <x v="5"/>
    <x v="1"/>
    <x v="17"/>
    <x v="3"/>
    <x v="0"/>
    <x v="7"/>
    <x v="80"/>
    <x v="0"/>
    <x v="0"/>
    <x v="43"/>
  </r>
  <r>
    <x v="19"/>
    <x v="2"/>
    <x v="4"/>
    <x v="0"/>
    <x v="1"/>
    <x v="7"/>
    <x v="117"/>
    <x v="2"/>
    <x v="1"/>
    <x v="55"/>
  </r>
  <r>
    <x v="11"/>
    <x v="1"/>
    <x v="23"/>
    <x v="0"/>
    <x v="0"/>
    <x v="0"/>
    <x v="41"/>
    <x v="0"/>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8" firstHeaderRow="1" firstDataRow="1" firstDataCol="1"/>
  <pivotFields count="10">
    <pivotField showAll="0"/>
    <pivotField showAll="0">
      <items count="5">
        <item x="3"/>
        <item x="2"/>
        <item x="1"/>
        <item x="0"/>
        <item t="default"/>
      </items>
    </pivotField>
    <pivotField showAll="0"/>
    <pivotField showAll="0"/>
    <pivotField showAll="0"/>
    <pivotField showAll="0"/>
    <pivotField showAll="0"/>
    <pivotField axis="axisRow" showAll="0" sortType="ascending">
      <items count="5">
        <item x="3"/>
        <item x="2"/>
        <item x="1"/>
        <item x="0"/>
        <item t="default"/>
      </items>
    </pivotField>
    <pivotField showAll="0">
      <items count="3">
        <item x="1"/>
        <item x="0"/>
        <item t="default"/>
      </items>
    </pivotField>
    <pivotField dataField="1" showAll="0"/>
  </pivotFields>
  <rowFields count="1">
    <field x="7"/>
  </rowFields>
  <rowItems count="5">
    <i>
      <x/>
    </i>
    <i>
      <x v="1"/>
    </i>
    <i>
      <x v="2"/>
    </i>
    <i>
      <x v="3"/>
    </i>
    <i t="grand">
      <x/>
    </i>
  </rowItems>
  <colItems count="1">
    <i/>
  </colItems>
  <dataFields count="1">
    <dataField name="Average of Chance of Admit " fld="9" subtotal="average" baseField="7" baseItem="2"/>
  </dataFields>
  <formats count="1">
    <format dxfId="25">
      <pivotArea collapsedLevelsAreSubtotals="1" fieldPosition="0">
        <references count="1">
          <reference field="7" count="0"/>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1F1159-C58B-4B89-94EC-FE7458135DB3}"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0">
    <pivotField showAll="0"/>
    <pivotField showAll="0">
      <items count="5">
        <item x="3"/>
        <item x="2"/>
        <item x="1"/>
        <item x="0"/>
        <item t="default"/>
      </items>
    </pivotField>
    <pivotField showAll="0"/>
    <pivotField dataField="1" showAll="0"/>
    <pivotField showAll="0"/>
    <pivotField showAll="0"/>
    <pivotField showAll="0"/>
    <pivotField axis="axisRow" showAll="0">
      <items count="5">
        <item x="3"/>
        <item x="2"/>
        <item x="1"/>
        <item x="0"/>
        <item t="default"/>
      </items>
    </pivotField>
    <pivotField showAll="0">
      <items count="3">
        <item x="1"/>
        <item x="0"/>
        <item t="default"/>
      </items>
    </pivotField>
    <pivotField showAll="0"/>
  </pivotFields>
  <rowFields count="1">
    <field x="7"/>
  </rowFields>
  <rowItems count="5">
    <i>
      <x/>
    </i>
    <i>
      <x v="1"/>
    </i>
    <i>
      <x v="2"/>
    </i>
    <i>
      <x v="3"/>
    </i>
    <i t="grand">
      <x/>
    </i>
  </rowItems>
  <colItems count="1">
    <i/>
  </colItems>
  <dataFields count="1">
    <dataField name="Average of University Rating" fld="3" subtotal="average" baseField="6" baseItem="0"/>
  </dataFields>
  <formats count="1">
    <format dxfId="24">
      <pivotArea collapsedLevelsAreSubtotals="1" fieldPosition="0">
        <references count="1">
          <reference field="7"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EA80D2-9818-4208-963B-C266BE3BDD9B}"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0">
    <pivotField showAll="0">
      <items count="50">
        <item x="44"/>
        <item x="48"/>
        <item x="41"/>
        <item x="24"/>
        <item x="40"/>
        <item x="47"/>
        <item x="23"/>
        <item x="30"/>
        <item x="26"/>
        <item x="39"/>
        <item x="8"/>
        <item x="18"/>
        <item x="31"/>
        <item x="43"/>
        <item x="42"/>
        <item x="13"/>
        <item x="7"/>
        <item x="37"/>
        <item x="25"/>
        <item x="14"/>
        <item x="19"/>
        <item x="32"/>
        <item x="4"/>
        <item x="38"/>
        <item x="2"/>
        <item x="15"/>
        <item x="17"/>
        <item x="16"/>
        <item x="29"/>
        <item x="6"/>
        <item x="3"/>
        <item x="9"/>
        <item x="1"/>
        <item x="10"/>
        <item x="34"/>
        <item x="11"/>
        <item x="12"/>
        <item x="35"/>
        <item x="5"/>
        <item x="28"/>
        <item x="33"/>
        <item x="46"/>
        <item x="20"/>
        <item x="45"/>
        <item x="21"/>
        <item x="0"/>
        <item x="27"/>
        <item x="36"/>
        <item x="22"/>
        <item t="default"/>
      </items>
    </pivotField>
    <pivotField axis="axisRow" showAll="0">
      <items count="5">
        <item x="3"/>
        <item x="2"/>
        <item x="1"/>
        <item x="0"/>
        <item t="default"/>
      </items>
    </pivotField>
    <pivotField showAll="0">
      <items count="30">
        <item x="28"/>
        <item x="19"/>
        <item x="27"/>
        <item x="25"/>
        <item x="26"/>
        <item x="21"/>
        <item x="18"/>
        <item x="20"/>
        <item x="24"/>
        <item x="7"/>
        <item x="8"/>
        <item x="4"/>
        <item x="2"/>
        <item x="13"/>
        <item x="10"/>
        <item x="1"/>
        <item x="9"/>
        <item x="6"/>
        <item x="3"/>
        <item x="11"/>
        <item x="12"/>
        <item x="23"/>
        <item x="14"/>
        <item x="5"/>
        <item x="15"/>
        <item x="22"/>
        <item x="0"/>
        <item x="16"/>
        <item x="17"/>
        <item t="default"/>
      </items>
    </pivotField>
    <pivotField showAll="0">
      <items count="6">
        <item x="4"/>
        <item x="2"/>
        <item x="1"/>
        <item x="0"/>
        <item x="3"/>
        <item t="default"/>
      </items>
    </pivotField>
    <pivotField showAll="0">
      <items count="10">
        <item x="7"/>
        <item x="6"/>
        <item x="4"/>
        <item x="8"/>
        <item x="2"/>
        <item x="3"/>
        <item x="1"/>
        <item x="0"/>
        <item x="5"/>
        <item t="default"/>
      </items>
    </pivotField>
    <pivotField showAll="0"/>
    <pivotField showAll="0">
      <items count="185">
        <item x="32"/>
        <item x="21"/>
        <item x="180"/>
        <item x="174"/>
        <item x="159"/>
        <item x="78"/>
        <item x="22"/>
        <item x="157"/>
        <item x="47"/>
        <item x="30"/>
        <item x="171"/>
        <item x="158"/>
        <item x="168"/>
        <item x="77"/>
        <item x="20"/>
        <item x="46"/>
        <item x="164"/>
        <item x="179"/>
        <item x="31"/>
        <item x="144"/>
        <item x="121"/>
        <item x="56"/>
        <item x="161"/>
        <item x="136"/>
        <item x="183"/>
        <item x="27"/>
        <item x="175"/>
        <item x="26"/>
        <item x="182"/>
        <item x="59"/>
        <item x="102"/>
        <item x="148"/>
        <item x="58"/>
        <item x="122"/>
        <item x="7"/>
        <item x="55"/>
        <item x="169"/>
        <item x="146"/>
        <item x="167"/>
        <item x="149"/>
        <item x="107"/>
        <item x="2"/>
        <item x="145"/>
        <item x="48"/>
        <item x="57"/>
        <item x="108"/>
        <item x="160"/>
        <item x="131"/>
        <item x="142"/>
        <item x="23"/>
        <item x="64"/>
        <item x="153"/>
        <item x="53"/>
        <item x="137"/>
        <item x="89"/>
        <item x="143"/>
        <item x="150"/>
        <item x="6"/>
        <item x="4"/>
        <item x="45"/>
        <item x="129"/>
        <item x="156"/>
        <item x="65"/>
        <item x="96"/>
        <item x="106"/>
        <item x="52"/>
        <item x="12"/>
        <item x="112"/>
        <item x="105"/>
        <item x="74"/>
        <item x="170"/>
        <item x="82"/>
        <item x="135"/>
        <item x="9"/>
        <item x="51"/>
        <item x="117"/>
        <item x="154"/>
        <item x="75"/>
        <item x="63"/>
        <item x="66"/>
        <item x="72"/>
        <item x="147"/>
        <item x="15"/>
        <item x="116"/>
        <item x="130"/>
        <item x="118"/>
        <item x="151"/>
        <item x="43"/>
        <item x="140"/>
        <item x="8"/>
        <item x="76"/>
        <item x="35"/>
        <item x="86"/>
        <item x="50"/>
        <item x="3"/>
        <item x="73"/>
        <item x="101"/>
        <item x="13"/>
        <item x="84"/>
        <item x="44"/>
        <item x="138"/>
        <item x="152"/>
        <item x="99"/>
        <item x="54"/>
        <item x="88"/>
        <item x="68"/>
        <item x="128"/>
        <item x="14"/>
        <item x="139"/>
        <item x="79"/>
        <item x="29"/>
        <item x="178"/>
        <item x="1"/>
        <item x="62"/>
        <item x="100"/>
        <item x="42"/>
        <item x="33"/>
        <item x="114"/>
        <item x="172"/>
        <item x="60"/>
        <item x="104"/>
        <item x="113"/>
        <item x="10"/>
        <item x="103"/>
        <item x="34"/>
        <item x="41"/>
        <item x="67"/>
        <item x="98"/>
        <item x="109"/>
        <item x="90"/>
        <item x="11"/>
        <item x="95"/>
        <item x="91"/>
        <item x="110"/>
        <item x="123"/>
        <item x="92"/>
        <item x="37"/>
        <item x="133"/>
        <item x="69"/>
        <item x="134"/>
        <item x="25"/>
        <item x="36"/>
        <item x="111"/>
        <item x="61"/>
        <item x="176"/>
        <item x="127"/>
        <item x="181"/>
        <item x="87"/>
        <item x="28"/>
        <item x="132"/>
        <item x="83"/>
        <item x="5"/>
        <item x="85"/>
        <item x="49"/>
        <item x="71"/>
        <item x="24"/>
        <item x="126"/>
        <item x="97"/>
        <item x="93"/>
        <item x="40"/>
        <item x="70"/>
        <item x="155"/>
        <item x="81"/>
        <item x="16"/>
        <item x="115"/>
        <item x="162"/>
        <item x="80"/>
        <item x="19"/>
        <item x="163"/>
        <item x="38"/>
        <item x="0"/>
        <item x="124"/>
        <item x="177"/>
        <item x="141"/>
        <item x="17"/>
        <item x="165"/>
        <item x="39"/>
        <item x="125"/>
        <item x="18"/>
        <item x="166"/>
        <item x="173"/>
        <item x="120"/>
        <item x="119"/>
        <item x="94"/>
        <item t="default"/>
      </items>
    </pivotField>
    <pivotField showAll="0">
      <items count="5">
        <item x="3"/>
        <item x="2"/>
        <item x="1"/>
        <item x="0"/>
        <item t="default"/>
      </items>
    </pivotField>
    <pivotField showAll="0">
      <items count="3">
        <item x="1"/>
        <item x="0"/>
        <item t="default"/>
      </items>
    </pivotField>
    <pivotField dataField="1" showAll="0">
      <items count="62">
        <item x="45"/>
        <item x="37"/>
        <item x="60"/>
        <item x="44"/>
        <item x="59"/>
        <item x="38"/>
        <item x="57"/>
        <item x="23"/>
        <item x="9"/>
        <item x="24"/>
        <item x="39"/>
        <item x="29"/>
        <item x="30"/>
        <item x="8"/>
        <item x="58"/>
        <item x="10"/>
        <item x="31"/>
        <item x="15"/>
        <item x="40"/>
        <item x="36"/>
        <item x="41"/>
        <item x="28"/>
        <item x="49"/>
        <item x="56"/>
        <item x="14"/>
        <item x="13"/>
        <item x="17"/>
        <item x="18"/>
        <item x="4"/>
        <item x="16"/>
        <item x="54"/>
        <item x="7"/>
        <item x="48"/>
        <item x="19"/>
        <item x="47"/>
        <item x="2"/>
        <item x="55"/>
        <item x="25"/>
        <item x="6"/>
        <item x="1"/>
        <item x="51"/>
        <item x="12"/>
        <item x="46"/>
        <item x="3"/>
        <item x="52"/>
        <item x="35"/>
        <item x="53"/>
        <item x="11"/>
        <item x="50"/>
        <item x="33"/>
        <item x="32"/>
        <item x="27"/>
        <item x="34"/>
        <item x="5"/>
        <item x="26"/>
        <item x="0"/>
        <item x="43"/>
        <item x="20"/>
        <item x="21"/>
        <item x="42"/>
        <item x="22"/>
        <item t="default"/>
      </items>
    </pivotField>
  </pivotFields>
  <rowFields count="1">
    <field x="1"/>
  </rowFields>
  <rowItems count="5">
    <i>
      <x/>
    </i>
    <i>
      <x v="1"/>
    </i>
    <i>
      <x v="2"/>
    </i>
    <i>
      <x v="3"/>
    </i>
    <i t="grand">
      <x/>
    </i>
  </rowItems>
  <colItems count="1">
    <i/>
  </colItems>
  <dataFields count="1">
    <dataField name="Average of Chance of Admit " fld="9" subtotal="average" baseField="1" baseItem="0"/>
  </dataFields>
  <formats count="1">
    <format dxfId="23">
      <pivotArea collapsedLevelsAreSubtotals="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30ECA1-D641-4CFC-9704-893148BD917A}" name="PivotTable2" cacheId="1" applyNumberFormats="0" applyBorderFormats="0" applyFontFormats="0" applyPatternFormats="0" applyAlignmentFormats="0" applyWidthHeightFormats="1" dataCaption="Values" missingCaption="-" updatedVersion="7" minRefreshableVersion="3" useAutoFormatting="1" rowGrandTotals="0" colGrandTotals="0" itemPrintTitles="1" createdVersion="7" indent="0" outline="1" outlineData="1" multipleFieldFilters="0" rowHeaderCaption="SOP Score" colHeaderCaption="LOR Score">
  <location ref="A3:J13" firstHeaderRow="1" firstDataRow="2" firstDataCol="1"/>
  <pivotFields count="10">
    <pivotField showAll="0"/>
    <pivotField showAll="0">
      <items count="5">
        <item x="3"/>
        <item x="2"/>
        <item x="1"/>
        <item x="0"/>
        <item t="default"/>
      </items>
    </pivotField>
    <pivotField showAll="0"/>
    <pivotField showAll="0"/>
    <pivotField axis="axisRow" showAll="0">
      <items count="10">
        <item x="7"/>
        <item x="6"/>
        <item x="4"/>
        <item x="8"/>
        <item x="2"/>
        <item x="3"/>
        <item x="1"/>
        <item x="0"/>
        <item x="5"/>
        <item t="default"/>
      </items>
    </pivotField>
    <pivotField axis="axisCol" showAll="0">
      <items count="10">
        <item x="8"/>
        <item x="5"/>
        <item x="6"/>
        <item x="2"/>
        <item x="3"/>
        <item x="1"/>
        <item x="4"/>
        <item x="0"/>
        <item x="7"/>
        <item t="default"/>
      </items>
    </pivotField>
    <pivotField showAll="0"/>
    <pivotField showAll="0">
      <items count="5">
        <item x="3"/>
        <item x="2"/>
        <item x="1"/>
        <item x="0"/>
        <item t="default"/>
      </items>
    </pivotField>
    <pivotField showAll="0">
      <items count="3">
        <item x="1"/>
        <item x="0"/>
        <item t="default"/>
      </items>
    </pivotField>
    <pivotField dataField="1" showAll="0"/>
  </pivotFields>
  <rowFields count="1">
    <field x="4"/>
  </rowFields>
  <rowItems count="9">
    <i>
      <x/>
    </i>
    <i>
      <x v="1"/>
    </i>
    <i>
      <x v="2"/>
    </i>
    <i>
      <x v="3"/>
    </i>
    <i>
      <x v="4"/>
    </i>
    <i>
      <x v="5"/>
    </i>
    <i>
      <x v="6"/>
    </i>
    <i>
      <x v="7"/>
    </i>
    <i>
      <x v="8"/>
    </i>
  </rowItems>
  <colFields count="1">
    <field x="5"/>
  </colFields>
  <colItems count="9">
    <i>
      <x/>
    </i>
    <i>
      <x v="1"/>
    </i>
    <i>
      <x v="2"/>
    </i>
    <i>
      <x v="3"/>
    </i>
    <i>
      <x v="4"/>
    </i>
    <i>
      <x v="5"/>
    </i>
    <i>
      <x v="6"/>
    </i>
    <i>
      <x v="7"/>
    </i>
    <i>
      <x v="8"/>
    </i>
  </colItems>
  <dataFields count="1">
    <dataField name="Impact of SOP and LOR on Admission Chance" fld="9" subtotal="average" baseField="4" baseItem="0" numFmtId="165"/>
  </dataFields>
  <formats count="20">
    <format dxfId="22">
      <pivotArea outline="0" collapsedLevelsAreSubtotals="1" fieldPosition="0"/>
    </format>
    <format dxfId="21">
      <pivotArea collapsedLevelsAreSubtotals="1" fieldPosition="0">
        <references count="2">
          <reference field="4" count="0"/>
          <reference field="5" count="0" selected="0"/>
        </references>
      </pivotArea>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field="5" type="button" dataOnly="0" labelOnly="1" outline="0" axis="axisCol" fieldPosition="0"/>
    </format>
    <format dxfId="16">
      <pivotArea type="topRight" dataOnly="0" labelOnly="1" outline="0" fieldPosition="0"/>
    </format>
    <format dxfId="15">
      <pivotArea field="4" type="button" dataOnly="0" labelOnly="1" outline="0" axis="axisRow" fieldPosition="0"/>
    </format>
    <format dxfId="14">
      <pivotArea dataOnly="0" labelOnly="1" fieldPosition="0">
        <references count="1">
          <reference field="4" count="0"/>
        </references>
      </pivotArea>
    </format>
    <format dxfId="13">
      <pivotArea dataOnly="0" labelOnly="1" grandRow="1" outline="0" fieldPosition="0"/>
    </format>
    <format dxfId="12">
      <pivotArea dataOnly="0" labelOnly="1" fieldPosition="0">
        <references count="1">
          <reference field="5" count="0"/>
        </references>
      </pivotArea>
    </format>
    <format dxfId="11">
      <pivotArea dataOnly="0" labelOnly="1" grandCol="1" outline="0" fieldPosition="0"/>
    </format>
    <format dxfId="10">
      <pivotArea collapsedLevelsAreSubtotals="1" fieldPosition="0">
        <references count="2">
          <reference field="4" count="5">
            <x v="0"/>
            <x v="1"/>
            <x v="2"/>
            <x v="3"/>
            <x v="4"/>
          </reference>
          <reference field="5" count="3" selected="0">
            <x v="1"/>
            <x v="2"/>
            <x v="3"/>
          </reference>
        </references>
      </pivotArea>
    </format>
    <format dxfId="9">
      <pivotArea collapsedLevelsAreSubtotals="1" fieldPosition="0">
        <references count="2">
          <reference field="4" count="1">
            <x v="0"/>
          </reference>
          <reference field="5" count="1" selected="0">
            <x v="0"/>
          </reference>
        </references>
      </pivotArea>
    </format>
    <format dxfId="8">
      <pivotArea collapsedLevelsAreSubtotals="1" fieldPosition="0">
        <references count="2">
          <reference field="4" count="2">
            <x v="5"/>
            <x v="6"/>
          </reference>
          <reference field="5" count="1" selected="0">
            <x v="2"/>
          </reference>
        </references>
      </pivotArea>
    </format>
    <format dxfId="7">
      <pivotArea collapsedLevelsAreSubtotals="1" fieldPosition="0">
        <references count="2">
          <reference field="4" count="8">
            <x v="1"/>
            <x v="2"/>
            <x v="3"/>
            <x v="4"/>
            <x v="5"/>
            <x v="6"/>
            <x v="7"/>
            <x v="8"/>
          </reference>
          <reference field="5" count="3" selected="0">
            <x v="4"/>
            <x v="5"/>
            <x v="6"/>
          </reference>
        </references>
      </pivotArea>
    </format>
    <format dxfId="6">
      <pivotArea outline="0" fieldPosition="0">
        <references count="1">
          <reference field="4294967294" count="1">
            <x v="0"/>
          </reference>
        </references>
      </pivotArea>
    </format>
    <format dxfId="5">
      <pivotArea outline="0" collapsedLevelsAreSubtotals="1" fieldPosition="0"/>
    </format>
    <format dxfId="4">
      <pivotArea outline="0" collapsedLevelsAreSubtotals="1" fieldPosition="0"/>
    </format>
    <format dxfId="3">
      <pivotArea type="origin" dataOnly="0" labelOnly="1" outline="0" fieldPosition="0"/>
    </format>
  </formats>
  <conditionalFormats count="5">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collapsedLevelsAreSubtotals="1" fieldPosition="0">
          <references count="3">
            <reference field="4294967294" count="1" selected="0">
              <x v="0"/>
            </reference>
            <reference field="4" count="9">
              <x v="0"/>
              <x v="1"/>
              <x v="2"/>
              <x v="3"/>
              <x v="4"/>
              <x v="5"/>
              <x v="6"/>
              <x v="7"/>
              <x v="8"/>
            </reference>
            <reference field="5" count="9" selected="0">
              <x v="0"/>
              <x v="1"/>
              <x v="2"/>
              <x v="3"/>
              <x v="4"/>
              <x v="5"/>
              <x v="6"/>
              <x v="7"/>
              <x v="8"/>
            </reference>
          </references>
        </pivotArea>
      </pivotAreas>
    </conditionalFormat>
    <conditionalFormat priority="4">
      <pivotAreas count="1">
        <pivotArea type="data" collapsedLevelsAreSubtotals="1" fieldPosition="0">
          <references count="3">
            <reference field="4294967294" count="1" selected="0">
              <x v="0"/>
            </reference>
            <reference field="4" count="9">
              <x v="0"/>
              <x v="1"/>
              <x v="2"/>
              <x v="3"/>
              <x v="4"/>
              <x v="5"/>
              <x v="6"/>
              <x v="7"/>
              <x v="8"/>
            </reference>
            <reference field="5" count="9" selected="0">
              <x v="0"/>
              <x v="1"/>
              <x v="2"/>
              <x v="3"/>
              <x v="4"/>
              <x v="5"/>
              <x v="6"/>
              <x v="7"/>
              <x v="8"/>
            </reference>
          </references>
        </pivotArea>
      </pivotAreas>
    </conditionalFormat>
    <conditionalFormat priority="5">
      <pivotAreas count="1">
        <pivotArea type="data" collapsedLevelsAreSubtotals="1" fieldPosition="0">
          <references count="3">
            <reference field="4294967294" count="1" selected="0">
              <x v="0"/>
            </reference>
            <reference field="4" count="9">
              <x v="0"/>
              <x v="1"/>
              <x v="2"/>
              <x v="3"/>
              <x v="4"/>
              <x v="5"/>
              <x v="6"/>
              <x v="7"/>
              <x v="8"/>
            </reference>
            <reference field="5"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1F97A1-E592-4791-AB36-FC223439589E}"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0">
    <pivotField showAll="0"/>
    <pivotField showAll="0">
      <items count="5">
        <item x="3"/>
        <item x="2"/>
        <item x="1"/>
        <item x="0"/>
        <item t="default"/>
      </items>
    </pivotField>
    <pivotField showAll="0"/>
    <pivotField showAll="0"/>
    <pivotField showAll="0"/>
    <pivotField showAll="0"/>
    <pivotField showAll="0"/>
    <pivotField showAll="0">
      <items count="5">
        <item x="3"/>
        <item x="2"/>
        <item x="1"/>
        <item x="0"/>
        <item t="default"/>
      </items>
    </pivotField>
    <pivotField axis="axisRow" showAll="0">
      <items count="3">
        <item x="1"/>
        <item x="0"/>
        <item t="default"/>
      </items>
    </pivotField>
    <pivotField dataField="1" showAll="0"/>
  </pivotFields>
  <rowFields count="1">
    <field x="8"/>
  </rowFields>
  <rowItems count="3">
    <i>
      <x/>
    </i>
    <i>
      <x v="1"/>
    </i>
    <i t="grand">
      <x/>
    </i>
  </rowItems>
  <colItems count="1">
    <i/>
  </colItems>
  <dataFields count="1">
    <dataField name="Average of Chance of Admit " fld="9" subtotal="average" baseField="8" baseItem="0"/>
  </dataFields>
  <formats count="1">
    <format dxfId="2">
      <pivotArea collapsedLevelsAreSubtotals="1" fieldPosition="0">
        <references count="1">
          <reference field="8"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GPA_Group" xr10:uid="{F5F27A95-0A3A-45C8-A1C5-829F874B81BE}" sourceName="CGPA Group">
  <pivotTables>
    <pivotTable tabId="7" name="PivotTable1"/>
    <pivotTable tabId="4" name="PivotTable2"/>
    <pivotTable tabId="8" name="PivotTable2"/>
    <pivotTable tabId="9" name="PivotTable1"/>
    <pivotTable tabId="5" name="PivotTable1"/>
  </pivotTables>
  <data>
    <tabular pivotCacheId="417595229">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earch" xr10:uid="{F83702D4-B439-4BDB-874A-A9737DCD3F30}" sourceName="Research">
  <pivotTables>
    <pivotTable tabId="7" name="PivotTable1"/>
    <pivotTable tabId="4" name="PivotTable2"/>
    <pivotTable tabId="8" name="PivotTable2"/>
    <pivotTable tabId="9" name="PivotTable1"/>
    <pivotTable tabId="5" name="PivotTable1"/>
  </pivotTables>
  <data>
    <tabular pivotCacheId="41759522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E_Range" xr10:uid="{11821711-406F-47A3-897C-5C5CE0B9F382}" sourceName="GRE Range">
  <pivotTables>
    <pivotTable tabId="7" name="PivotTable1"/>
    <pivotTable tabId="4" name="PivotTable2"/>
    <pivotTable tabId="8" name="PivotTable2"/>
    <pivotTable tabId="9" name="PivotTable1"/>
    <pivotTable tabId="5" name="PivotTable1"/>
  </pivotTables>
  <data>
    <tabular pivotCacheId="417595229">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GPA Group" xr10:uid="{66317CA8-F2FA-4B8A-A4C5-4583401F8335}" cache="Slicer_CGPA_Group" caption="CGPA Group" rowHeight="241300"/>
  <slicer name="Research" xr10:uid="{86CB42B5-1822-4EC7-931B-29BD19047D85}" cache="Slicer_Research" caption="Research" rowHeight="241300"/>
  <slicer name="GRE Range" xr10:uid="{A97F3E04-1691-4317-AB4F-B2DB2F299A4C}" cache="Slicer_GRE_Range" caption="GRE Range" startItem="1"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501" totalsRowShown="0">
  <autoFilter ref="A1:J501" xr:uid="{00000000-0009-0000-0100-000001000000}"/>
  <tableColumns count="10">
    <tableColumn id="1" xr3:uid="{00000000-0010-0000-0000-000001000000}" name="GRE Score"/>
    <tableColumn id="7" xr3:uid="{DE1C4415-CBD5-4C57-B7D1-D241FDA19759}" name="GRE Range" dataDxfId="1">
      <calculatedColumnFormula>IF(Table1[[#This Row],[GRE Score]]&lt;=310,"300–310", IF(Table1[[#This Row],[GRE Score]]&lt;=320,"310–320", IF(Table1[[#This Row],[GRE Score]]&lt;=330,"320–330","330+")))</calculatedColumnFormula>
    </tableColumn>
    <tableColumn id="2" xr3:uid="{00000000-0010-0000-0000-000002000000}" name="TOEFL Score"/>
    <tableColumn id="3" xr3:uid="{00000000-0010-0000-0000-000003000000}" name="University Rating"/>
    <tableColumn id="4" xr3:uid="{00000000-0010-0000-0000-000004000000}" name="SOP"/>
    <tableColumn id="5" xr3:uid="{00000000-0010-0000-0000-000005000000}" name="LOR "/>
    <tableColumn id="6" xr3:uid="{00000000-0010-0000-0000-000006000000}" name="CGPA"/>
    <tableColumn id="10" xr3:uid="{00000000-0010-0000-0000-00000A000000}" name="CGPA Group" dataDxfId="0">
      <calculatedColumnFormula>IF(G2&lt;8,"7.5–8.0",
IF(G2&lt;8.5,"8.0–8.5",
IF(G2&lt;9,"8.5–9.0","9.0+")))</calculatedColumnFormula>
    </tableColumn>
    <tableColumn id="8" xr3:uid="{00000000-0010-0000-0000-000008000000}" name="Research"/>
    <tableColumn id="9" xr3:uid="{00000000-0010-0000-0000-000009000000}" name="Chance of Admit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D14" sqref="D14"/>
    </sheetView>
  </sheetViews>
  <sheetFormatPr defaultRowHeight="14.5" x14ac:dyDescent="0.35"/>
  <cols>
    <col min="1" max="1" width="12.36328125" bestFit="1" customWidth="1"/>
    <col min="2" max="2" width="24.7265625" bestFit="1" customWidth="1"/>
  </cols>
  <sheetData>
    <row r="3" spans="1:2" x14ac:dyDescent="0.35">
      <c r="A3" s="1" t="s">
        <v>13</v>
      </c>
      <c r="B3" t="s">
        <v>16</v>
      </c>
    </row>
    <row r="4" spans="1:2" x14ac:dyDescent="0.35">
      <c r="A4" s="2" t="s">
        <v>11</v>
      </c>
      <c r="B4" s="5">
        <v>0.53749999999999998</v>
      </c>
    </row>
    <row r="5" spans="1:2" x14ac:dyDescent="0.35">
      <c r="A5" s="2" t="s">
        <v>10</v>
      </c>
      <c r="B5" s="5">
        <v>0.65776223776223786</v>
      </c>
    </row>
    <row r="6" spans="1:2" x14ac:dyDescent="0.35">
      <c r="A6" s="2" t="s">
        <v>9</v>
      </c>
      <c r="B6" s="5">
        <v>0.73775193798449623</v>
      </c>
    </row>
    <row r="7" spans="1:2" x14ac:dyDescent="0.35">
      <c r="A7" s="2" t="s">
        <v>8</v>
      </c>
      <c r="B7" s="5">
        <v>0.87840277777777809</v>
      </c>
    </row>
    <row r="8" spans="1:2" x14ac:dyDescent="0.35">
      <c r="A8" s="2" t="s">
        <v>14</v>
      </c>
      <c r="B8" s="3">
        <v>0.72174000000000027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FBC7D-8C31-447A-96BE-D2E318B9EA70}">
  <dimension ref="A3:B8"/>
  <sheetViews>
    <sheetView workbookViewId="0">
      <selection activeCell="B5" sqref="B5"/>
    </sheetView>
  </sheetViews>
  <sheetFormatPr defaultRowHeight="14.5" x14ac:dyDescent="0.35"/>
  <cols>
    <col min="1" max="1" width="12.36328125" bestFit="1" customWidth="1"/>
    <col min="2" max="2" width="24.54296875" bestFit="1" customWidth="1"/>
  </cols>
  <sheetData>
    <row r="3" spans="1:2" x14ac:dyDescent="0.35">
      <c r="A3" s="1" t="s">
        <v>13</v>
      </c>
      <c r="B3" t="s">
        <v>15</v>
      </c>
    </row>
    <row r="4" spans="1:2" x14ac:dyDescent="0.35">
      <c r="A4" s="2" t="s">
        <v>11</v>
      </c>
      <c r="B4" s="4">
        <v>2.1071428571428572</v>
      </c>
    </row>
    <row r="5" spans="1:2" x14ac:dyDescent="0.35">
      <c r="A5" s="2" t="s">
        <v>10</v>
      </c>
      <c r="B5" s="4">
        <v>2.5664335664335662</v>
      </c>
    </row>
    <row r="6" spans="1:2" x14ac:dyDescent="0.35">
      <c r="A6" s="2" t="s">
        <v>9</v>
      </c>
      <c r="B6" s="4">
        <v>3.1782945736434107</v>
      </c>
    </row>
    <row r="7" spans="1:2" x14ac:dyDescent="0.35">
      <c r="A7" s="2" t="s">
        <v>8</v>
      </c>
      <c r="B7" s="4">
        <v>4.1875</v>
      </c>
    </row>
    <row r="8" spans="1:2" x14ac:dyDescent="0.35">
      <c r="A8" s="2" t="s">
        <v>14</v>
      </c>
      <c r="B8" s="3">
        <v>3.1139999999999999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7C602-7ADF-4B35-AC1B-0AE3015084C2}">
  <dimension ref="A3:J8"/>
  <sheetViews>
    <sheetView workbookViewId="0">
      <selection activeCell="W13" sqref="W13"/>
    </sheetView>
  </sheetViews>
  <sheetFormatPr defaultRowHeight="14.5" x14ac:dyDescent="0.35"/>
  <cols>
    <col min="1" max="1" width="12.36328125" bestFit="1" customWidth="1"/>
    <col min="2" max="2" width="24.7265625" bestFit="1" customWidth="1"/>
  </cols>
  <sheetData>
    <row r="3" spans="1:10" x14ac:dyDescent="0.35">
      <c r="A3" s="1" t="s">
        <v>13</v>
      </c>
      <c r="B3" t="s">
        <v>16</v>
      </c>
      <c r="J3" t="s">
        <v>28</v>
      </c>
    </row>
    <row r="4" spans="1:10" x14ac:dyDescent="0.35">
      <c r="A4" s="2" t="s">
        <v>18</v>
      </c>
      <c r="B4" s="4">
        <v>0.59114093959731562</v>
      </c>
    </row>
    <row r="5" spans="1:10" x14ac:dyDescent="0.35">
      <c r="A5" s="2" t="s">
        <v>19</v>
      </c>
      <c r="B5" s="4">
        <v>0.69422077922077929</v>
      </c>
    </row>
    <row r="6" spans="1:10" x14ac:dyDescent="0.35">
      <c r="A6" s="2" t="s">
        <v>20</v>
      </c>
      <c r="B6" s="4">
        <v>0.80858156028368855</v>
      </c>
    </row>
    <row r="7" spans="1:10" x14ac:dyDescent="0.35">
      <c r="A7" s="2" t="s">
        <v>21</v>
      </c>
      <c r="B7" s="4">
        <v>0.92625000000000013</v>
      </c>
    </row>
    <row r="8" spans="1:10" x14ac:dyDescent="0.35">
      <c r="A8" s="2" t="s">
        <v>14</v>
      </c>
      <c r="B8" s="3">
        <v>0.72174000000000038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3BE59-5230-4176-A75F-063B445C128B}">
  <dimension ref="A2:J13"/>
  <sheetViews>
    <sheetView workbookViewId="0">
      <selection activeCell="A3" sqref="A3"/>
    </sheetView>
  </sheetViews>
  <sheetFormatPr defaultRowHeight="14.5" x14ac:dyDescent="0.35"/>
  <cols>
    <col min="1" max="1" width="42.26953125" bestFit="1" customWidth="1"/>
    <col min="2" max="2" width="13.6328125" bestFit="1" customWidth="1"/>
    <col min="3" max="3" width="3.81640625" bestFit="1" customWidth="1"/>
    <col min="4" max="4" width="3.36328125" bestFit="1" customWidth="1"/>
    <col min="5" max="5" width="3.81640625" bestFit="1" customWidth="1"/>
    <col min="6" max="6" width="3.36328125" bestFit="1" customWidth="1"/>
    <col min="7" max="7" width="3.81640625" bestFit="1" customWidth="1"/>
    <col min="8" max="8" width="3.36328125" bestFit="1" customWidth="1"/>
    <col min="9" max="9" width="3.81640625" bestFit="1" customWidth="1"/>
    <col min="10" max="10" width="3.36328125" bestFit="1" customWidth="1"/>
    <col min="11" max="11" width="10.7265625" bestFit="1" customWidth="1"/>
  </cols>
  <sheetData>
    <row r="2" spans="1:10" ht="14" customHeight="1" x14ac:dyDescent="0.35"/>
    <row r="3" spans="1:10" ht="15.5" x14ac:dyDescent="0.35">
      <c r="A3" s="11" t="s">
        <v>30</v>
      </c>
      <c r="B3" s="6" t="s">
        <v>22</v>
      </c>
      <c r="C3" s="7"/>
      <c r="D3" s="7"/>
      <c r="E3" s="7"/>
      <c r="F3" s="7"/>
      <c r="G3" s="7"/>
      <c r="H3" s="7"/>
      <c r="I3" s="7"/>
      <c r="J3" s="7"/>
    </row>
    <row r="4" spans="1:10" x14ac:dyDescent="0.35">
      <c r="A4" s="6" t="s">
        <v>23</v>
      </c>
      <c r="B4" s="7">
        <v>1</v>
      </c>
      <c r="C4" s="7">
        <v>1.5</v>
      </c>
      <c r="D4" s="7">
        <v>2</v>
      </c>
      <c r="E4" s="7">
        <v>2.5</v>
      </c>
      <c r="F4" s="7">
        <v>3</v>
      </c>
      <c r="G4" s="7">
        <v>3.5</v>
      </c>
      <c r="H4" s="7">
        <v>4</v>
      </c>
      <c r="I4" s="7">
        <v>4.5</v>
      </c>
      <c r="J4" s="7">
        <v>5</v>
      </c>
    </row>
    <row r="5" spans="1:10" x14ac:dyDescent="0.35">
      <c r="A5" s="7">
        <v>1</v>
      </c>
      <c r="B5" s="10">
        <v>0.42</v>
      </c>
      <c r="C5" s="10">
        <v>0.52</v>
      </c>
      <c r="D5" s="10">
        <v>0.57000000000000006</v>
      </c>
      <c r="E5" s="10">
        <v>0.57499999999999996</v>
      </c>
      <c r="F5" s="10">
        <v>0</v>
      </c>
      <c r="G5" s="10">
        <v>0</v>
      </c>
      <c r="H5" s="10">
        <v>0</v>
      </c>
      <c r="I5" s="10">
        <v>0</v>
      </c>
      <c r="J5" s="10">
        <v>0</v>
      </c>
    </row>
    <row r="6" spans="1:10" x14ac:dyDescent="0.35">
      <c r="A6" s="7">
        <v>1.5</v>
      </c>
      <c r="B6" s="10">
        <v>0</v>
      </c>
      <c r="C6" s="10">
        <v>0.49</v>
      </c>
      <c r="D6" s="10">
        <v>0.51615384615384619</v>
      </c>
      <c r="E6" s="10">
        <v>0.505</v>
      </c>
      <c r="F6" s="10">
        <v>0.67249999999999999</v>
      </c>
      <c r="G6" s="10">
        <v>0.58499999999999996</v>
      </c>
      <c r="H6" s="10">
        <v>0.57999999999999996</v>
      </c>
      <c r="I6" s="10">
        <v>0</v>
      </c>
      <c r="J6" s="10">
        <v>0</v>
      </c>
    </row>
    <row r="7" spans="1:10" x14ac:dyDescent="0.35">
      <c r="A7" s="7">
        <v>2</v>
      </c>
      <c r="B7" s="10">
        <v>0</v>
      </c>
      <c r="C7" s="10">
        <v>0.56000000000000005</v>
      </c>
      <c r="D7" s="10">
        <v>0.51666666666666661</v>
      </c>
      <c r="E7" s="10">
        <v>0.59062499999999996</v>
      </c>
      <c r="F7" s="10">
        <v>0.59111111111111114</v>
      </c>
      <c r="G7" s="10">
        <v>0.63500000000000001</v>
      </c>
      <c r="H7" s="10">
        <v>0.64249999999999996</v>
      </c>
      <c r="I7" s="10">
        <v>0.69</v>
      </c>
      <c r="J7" s="10">
        <v>0</v>
      </c>
    </row>
    <row r="8" spans="1:10" x14ac:dyDescent="0.35">
      <c r="A8" s="7">
        <v>2.5</v>
      </c>
      <c r="B8" s="10">
        <v>0</v>
      </c>
      <c r="C8" s="10">
        <v>0.55499999999999994</v>
      </c>
      <c r="D8" s="10">
        <v>0.63692307692307693</v>
      </c>
      <c r="E8" s="10">
        <v>0.64857142857142858</v>
      </c>
      <c r="F8" s="10">
        <v>0.65368421052631565</v>
      </c>
      <c r="G8" s="10">
        <v>0.65</v>
      </c>
      <c r="H8" s="10">
        <v>0.66999999999999993</v>
      </c>
      <c r="I8" s="10">
        <v>0.65333333333333343</v>
      </c>
      <c r="J8" s="10">
        <v>0</v>
      </c>
    </row>
    <row r="9" spans="1:10" x14ac:dyDescent="0.35">
      <c r="A9" s="7">
        <v>3</v>
      </c>
      <c r="B9" s="10">
        <v>0</v>
      </c>
      <c r="C9" s="10">
        <v>0.57000000000000006</v>
      </c>
      <c r="D9" s="10">
        <v>0.58374999999999999</v>
      </c>
      <c r="E9" s="10">
        <v>0.7055555555555556</v>
      </c>
      <c r="F9" s="10">
        <v>0.65913043478260869</v>
      </c>
      <c r="G9" s="10">
        <v>0.70130434782608686</v>
      </c>
      <c r="H9" s="10">
        <v>0.70444444444444443</v>
      </c>
      <c r="I9" s="10">
        <v>0.76</v>
      </c>
      <c r="J9" s="10">
        <v>0.72499999999999998</v>
      </c>
    </row>
    <row r="10" spans="1:10" x14ac:dyDescent="0.35">
      <c r="A10" s="7">
        <v>3.5</v>
      </c>
      <c r="B10" s="10">
        <v>0</v>
      </c>
      <c r="C10" s="10">
        <v>0</v>
      </c>
      <c r="D10" s="10">
        <v>0.59333333333333327</v>
      </c>
      <c r="E10" s="10">
        <v>0.68874999999999997</v>
      </c>
      <c r="F10" s="10">
        <v>0.69733333333333336</v>
      </c>
      <c r="G10" s="10">
        <v>0.71</v>
      </c>
      <c r="H10" s="10">
        <v>0.73363636363636364</v>
      </c>
      <c r="I10" s="10">
        <v>0.78749999999999998</v>
      </c>
      <c r="J10" s="10">
        <v>0.76</v>
      </c>
    </row>
    <row r="11" spans="1:10" x14ac:dyDescent="0.35">
      <c r="A11" s="7">
        <v>4</v>
      </c>
      <c r="B11" s="10">
        <v>0</v>
      </c>
      <c r="C11" s="10">
        <v>0</v>
      </c>
      <c r="D11" s="10">
        <v>0.46</v>
      </c>
      <c r="E11" s="10">
        <v>0.75250000000000006</v>
      </c>
      <c r="F11" s="10">
        <v>0.6399999999999999</v>
      </c>
      <c r="G11" s="10">
        <v>0.78600000000000003</v>
      </c>
      <c r="H11" s="10">
        <v>0.80052631578947364</v>
      </c>
      <c r="I11" s="10">
        <v>0.80428571428571416</v>
      </c>
      <c r="J11" s="10">
        <v>0.85571428571428576</v>
      </c>
    </row>
    <row r="12" spans="1:10" x14ac:dyDescent="0.35">
      <c r="A12" s="7">
        <v>4.5</v>
      </c>
      <c r="B12" s="10">
        <v>0</v>
      </c>
      <c r="C12" s="10">
        <v>0</v>
      </c>
      <c r="D12" s="10">
        <v>0</v>
      </c>
      <c r="E12" s="10">
        <v>0</v>
      </c>
      <c r="F12" s="10">
        <v>0.85333333333333339</v>
      </c>
      <c r="G12" s="10">
        <v>0.80333333333333323</v>
      </c>
      <c r="H12" s="10">
        <v>0.83166666666666655</v>
      </c>
      <c r="I12" s="10">
        <v>0.87611111111111106</v>
      </c>
      <c r="J12" s="10">
        <v>0.89222222222222214</v>
      </c>
    </row>
    <row r="13" spans="1:10" x14ac:dyDescent="0.35">
      <c r="A13" s="7">
        <v>5</v>
      </c>
      <c r="B13" s="10">
        <v>0</v>
      </c>
      <c r="C13" s="10">
        <v>0</v>
      </c>
      <c r="D13" s="10">
        <v>0</v>
      </c>
      <c r="E13" s="10">
        <v>0</v>
      </c>
      <c r="F13" s="10">
        <v>0.71</v>
      </c>
      <c r="G13" s="10">
        <v>0.72666666666666668</v>
      </c>
      <c r="H13" s="10">
        <v>0.83333333333333337</v>
      </c>
      <c r="I13" s="10">
        <v>0.90916666666666668</v>
      </c>
      <c r="J13" s="10">
        <v>0.91849999999999987</v>
      </c>
    </row>
  </sheetData>
  <conditionalFormatting pivot="1" sqref="B5:J13">
    <cfRule type="colorScale" priority="5">
      <colorScale>
        <cfvo type="min"/>
        <cfvo type="percentile" val="50"/>
        <cfvo type="max"/>
        <color rgb="FF63BE7B"/>
        <color rgb="FFFFEB84"/>
        <color rgb="FFF8696B"/>
      </colorScale>
    </cfRule>
  </conditionalFormatting>
  <conditionalFormatting pivot="1" sqref="B5:J13">
    <cfRule type="colorScale" priority="4">
      <colorScale>
        <cfvo type="num" val="0"/>
        <cfvo type="max"/>
        <color rgb="FFFF0000"/>
        <color theme="9" tint="-0.499984740745262"/>
      </colorScale>
    </cfRule>
  </conditionalFormatting>
  <conditionalFormatting pivot="1" sqref="B5:J13">
    <cfRule type="colorScale" priority="3">
      <colorScale>
        <cfvo type="min"/>
        <cfvo type="percentile" val="50"/>
        <cfvo type="max"/>
        <color rgb="FFFF0000"/>
        <color rgb="FFFFFF00"/>
        <color rgb="FF00B050"/>
      </colorScale>
    </cfRule>
  </conditionalFormatting>
  <conditionalFormatting pivot="1" sqref="B5:J13">
    <cfRule type="colorScale" priority="2">
      <colorScale>
        <cfvo type="min"/>
        <cfvo type="percentile" val="50"/>
        <cfvo type="max"/>
        <color rgb="FFDEEBF7"/>
        <color rgb="FF9ECAE1"/>
        <color rgb="FF08519C"/>
      </colorScale>
    </cfRule>
  </conditionalFormatting>
  <conditionalFormatting pivot="1" sqref="B5:J13">
    <cfRule type="colorScale" priority="1">
      <colorScale>
        <cfvo type="min"/>
        <cfvo type="percentile" val="50"/>
        <cfvo type="max"/>
        <color rgb="FFFF0000"/>
        <color rgb="FFFFFF00"/>
        <color rgb="FF00B050"/>
      </colorScale>
    </cfRule>
  </conditionalFormatting>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6F6C9-2504-4845-88CF-20B65A9D879E}">
  <dimension ref="A1:U2"/>
  <sheetViews>
    <sheetView showGridLines="0" tabSelected="1" zoomScale="47" zoomScaleNormal="47" workbookViewId="0">
      <selection activeCell="AC17" sqref="AC17"/>
    </sheetView>
  </sheetViews>
  <sheetFormatPr defaultRowHeight="14.5" x14ac:dyDescent="0.35"/>
  <sheetData>
    <row r="1" spans="1:21" ht="14.5" customHeight="1" x14ac:dyDescent="0.35">
      <c r="A1" s="12" t="s">
        <v>29</v>
      </c>
      <c r="B1" s="13"/>
      <c r="C1" s="13"/>
      <c r="D1" s="13"/>
      <c r="E1" s="13"/>
      <c r="F1" s="13"/>
      <c r="G1" s="13"/>
      <c r="H1" s="13"/>
      <c r="I1" s="13"/>
      <c r="J1" s="13"/>
      <c r="K1" s="13"/>
      <c r="L1" s="13"/>
      <c r="M1" s="13"/>
      <c r="N1" s="13"/>
      <c r="O1" s="13"/>
      <c r="P1" s="13"/>
      <c r="Q1" s="13"/>
      <c r="R1" s="13"/>
      <c r="S1" s="13"/>
      <c r="T1" s="13"/>
      <c r="U1" s="13"/>
    </row>
    <row r="2" spans="1:21" x14ac:dyDescent="0.35">
      <c r="A2" s="13"/>
      <c r="B2" s="13"/>
      <c r="C2" s="13"/>
      <c r="D2" s="13"/>
      <c r="E2" s="13"/>
      <c r="F2" s="13"/>
      <c r="G2" s="13"/>
      <c r="H2" s="13"/>
      <c r="I2" s="13"/>
      <c r="J2" s="13"/>
      <c r="K2" s="13"/>
      <c r="L2" s="13"/>
      <c r="M2" s="13"/>
      <c r="N2" s="13"/>
      <c r="O2" s="13"/>
      <c r="P2" s="13"/>
      <c r="Q2" s="13"/>
      <c r="R2" s="13"/>
      <c r="S2" s="13"/>
      <c r="T2" s="13"/>
      <c r="U2" s="13"/>
    </row>
  </sheetData>
  <mergeCells count="1">
    <mergeCell ref="A1:U2"/>
  </mergeCell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9B6F0-F4F2-4A23-876E-DFC06845B1A6}">
  <dimension ref="A3:B13"/>
  <sheetViews>
    <sheetView topLeftCell="A2" workbookViewId="0">
      <selection activeCell="K13" sqref="K13"/>
    </sheetView>
  </sheetViews>
  <sheetFormatPr defaultRowHeight="14.5" x14ac:dyDescent="0.35"/>
  <cols>
    <col min="1" max="1" width="12.36328125" bestFit="1" customWidth="1"/>
    <col min="2" max="2" width="24.7265625" bestFit="1" customWidth="1"/>
  </cols>
  <sheetData>
    <row r="3" spans="1:2" x14ac:dyDescent="0.35">
      <c r="A3" s="1" t="s">
        <v>13</v>
      </c>
      <c r="B3" t="s">
        <v>16</v>
      </c>
    </row>
    <row r="4" spans="1:2" x14ac:dyDescent="0.35">
      <c r="A4" s="2">
        <v>0</v>
      </c>
      <c r="B4" s="4">
        <v>0.63490909090909053</v>
      </c>
    </row>
    <row r="5" spans="1:2" x14ac:dyDescent="0.35">
      <c r="A5" s="2">
        <v>1</v>
      </c>
      <c r="B5" s="4">
        <v>0.78996428571428567</v>
      </c>
    </row>
    <row r="6" spans="1:2" x14ac:dyDescent="0.35">
      <c r="A6" s="2" t="s">
        <v>14</v>
      </c>
      <c r="B6" s="3">
        <v>0.72174000000000016</v>
      </c>
    </row>
    <row r="10" spans="1:2" x14ac:dyDescent="0.35">
      <c r="A10" t="s">
        <v>24</v>
      </c>
      <c r="B10" s="8">
        <f>AVERAGE(Table1[[Chance of Admit ]])</f>
        <v>0.7217399999999996</v>
      </c>
    </row>
    <row r="11" spans="1:2" x14ac:dyDescent="0.35">
      <c r="A11" t="s">
        <v>25</v>
      </c>
      <c r="B11" s="8">
        <f>MAX(admission_data_set!J2:J486)</f>
        <v>0.97</v>
      </c>
    </row>
    <row r="12" spans="1:2" x14ac:dyDescent="0.35">
      <c r="A12" t="s">
        <v>26</v>
      </c>
      <c r="B12" s="5">
        <f>AVERAGE(Table1[CGPA])</f>
        <v>8.5764400000000034</v>
      </c>
    </row>
    <row r="13" spans="1:2" x14ac:dyDescent="0.35">
      <c r="A13" t="s">
        <v>27</v>
      </c>
      <c r="B13" s="9">
        <f>AVERAGE(Table1[GRE Score])</f>
        <v>316.47199999999998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1"/>
  <sheetViews>
    <sheetView workbookViewId="0">
      <selection activeCell="B4" sqref="B4"/>
    </sheetView>
  </sheetViews>
  <sheetFormatPr defaultRowHeight="14.5" x14ac:dyDescent="0.35"/>
  <cols>
    <col min="1" max="1" width="11.453125" bestFit="1" customWidth="1"/>
    <col min="2" max="2" width="11.453125" customWidth="1"/>
    <col min="3" max="3" width="13.1796875" bestFit="1" customWidth="1"/>
    <col min="4" max="4" width="17.26953125" bestFit="1" customWidth="1"/>
    <col min="5" max="5" width="6.453125" bestFit="1" customWidth="1"/>
    <col min="6" max="6" width="6.81640625" bestFit="1" customWidth="1"/>
    <col min="7" max="7" width="7.7265625" bestFit="1" customWidth="1"/>
    <col min="8" max="8" width="13.453125" bestFit="1" customWidth="1"/>
    <col min="9" max="9" width="10.6328125" bestFit="1" customWidth="1"/>
    <col min="10" max="10" width="17.453125" bestFit="1" customWidth="1"/>
  </cols>
  <sheetData>
    <row r="1" spans="1:10" x14ac:dyDescent="0.35">
      <c r="A1" t="s">
        <v>0</v>
      </c>
      <c r="B1" t="s">
        <v>17</v>
      </c>
      <c r="C1" t="s">
        <v>1</v>
      </c>
      <c r="D1" t="s">
        <v>2</v>
      </c>
      <c r="E1" t="s">
        <v>3</v>
      </c>
      <c r="F1" t="s">
        <v>4</v>
      </c>
      <c r="G1" t="s">
        <v>5</v>
      </c>
      <c r="H1" t="s">
        <v>12</v>
      </c>
      <c r="I1" t="s">
        <v>6</v>
      </c>
      <c r="J1" t="s">
        <v>7</v>
      </c>
    </row>
    <row r="2" spans="1:10" x14ac:dyDescent="0.35">
      <c r="A2">
        <v>337</v>
      </c>
      <c r="B2" t="str">
        <f>IF(Table1[[#This Row],[GRE Score]]&lt;=310,"300–310", IF(Table1[[#This Row],[GRE Score]]&lt;=320,"310–320", IF(Table1[[#This Row],[GRE Score]]&lt;=330,"320–330","330+")))</f>
        <v>330+</v>
      </c>
      <c r="C2">
        <v>118</v>
      </c>
      <c r="D2">
        <v>4</v>
      </c>
      <c r="E2">
        <v>4.5</v>
      </c>
      <c r="F2">
        <v>4.5</v>
      </c>
      <c r="G2">
        <v>9.65</v>
      </c>
      <c r="H2" t="str">
        <f t="shared" ref="H2:H65" si="0">IF(G2&lt;8,"7.5–8.0",
IF(G2&lt;8.5,"8.0–8.5",
IF(G2&lt;9,"8.5–9.0","9.0+")))</f>
        <v>9.0+</v>
      </c>
      <c r="I2">
        <v>1</v>
      </c>
      <c r="J2">
        <v>0.92</v>
      </c>
    </row>
    <row r="3" spans="1:10" x14ac:dyDescent="0.35">
      <c r="A3">
        <v>324</v>
      </c>
      <c r="B3" t="str">
        <f>IF(Table1[[#This Row],[GRE Score]]&lt;=310,"300–310", IF(Table1[[#This Row],[GRE Score]]&lt;=320,"310–320", IF(Table1[[#This Row],[GRE Score]]&lt;=330,"320–330","330+")))</f>
        <v>320–330</v>
      </c>
      <c r="C3">
        <v>107</v>
      </c>
      <c r="D3">
        <v>4</v>
      </c>
      <c r="E3">
        <v>4</v>
      </c>
      <c r="F3">
        <v>4.5</v>
      </c>
      <c r="G3">
        <v>8.8699999999999992</v>
      </c>
      <c r="H3" t="str">
        <f t="shared" si="0"/>
        <v>8.5–9.0</v>
      </c>
      <c r="I3">
        <v>1</v>
      </c>
      <c r="J3">
        <v>0.76</v>
      </c>
    </row>
    <row r="4" spans="1:10" x14ac:dyDescent="0.35">
      <c r="A4">
        <v>316</v>
      </c>
      <c r="B4" t="str">
        <f>IF(Table1[[#This Row],[GRE Score]]&lt;=310,"300–310", IF(Table1[[#This Row],[GRE Score]]&lt;=320,"310–320", IF(Table1[[#This Row],[GRE Score]]&lt;=330,"320–330","330+")))</f>
        <v>310–320</v>
      </c>
      <c r="C4">
        <v>104</v>
      </c>
      <c r="D4">
        <v>3</v>
      </c>
      <c r="E4">
        <v>3</v>
      </c>
      <c r="F4">
        <v>3.5</v>
      </c>
      <c r="G4">
        <v>8</v>
      </c>
      <c r="H4" t="str">
        <f t="shared" si="0"/>
        <v>8.0–8.5</v>
      </c>
      <c r="I4">
        <v>1</v>
      </c>
      <c r="J4">
        <v>0.72</v>
      </c>
    </row>
    <row r="5" spans="1:10" x14ac:dyDescent="0.35">
      <c r="A5">
        <v>322</v>
      </c>
      <c r="B5" t="str">
        <f>IF(Table1[[#This Row],[GRE Score]]&lt;=310,"300–310", IF(Table1[[#This Row],[GRE Score]]&lt;=320,"310–320", IF(Table1[[#This Row],[GRE Score]]&lt;=330,"320–330","330+")))</f>
        <v>320–330</v>
      </c>
      <c r="C5">
        <v>110</v>
      </c>
      <c r="D5">
        <v>3</v>
      </c>
      <c r="E5">
        <v>3.5</v>
      </c>
      <c r="F5">
        <v>2.5</v>
      </c>
      <c r="G5">
        <v>8.67</v>
      </c>
      <c r="H5" t="str">
        <f t="shared" si="0"/>
        <v>8.5–9.0</v>
      </c>
      <c r="I5">
        <v>1</v>
      </c>
      <c r="J5">
        <v>0.8</v>
      </c>
    </row>
    <row r="6" spans="1:10" x14ac:dyDescent="0.35">
      <c r="A6">
        <v>314</v>
      </c>
      <c r="B6" t="str">
        <f>IF(Table1[[#This Row],[GRE Score]]&lt;=310,"300–310", IF(Table1[[#This Row],[GRE Score]]&lt;=320,"310–320", IF(Table1[[#This Row],[GRE Score]]&lt;=330,"320–330","330+")))</f>
        <v>310–320</v>
      </c>
      <c r="C6">
        <v>103</v>
      </c>
      <c r="D6">
        <v>2</v>
      </c>
      <c r="E6">
        <v>2</v>
      </c>
      <c r="F6">
        <v>3</v>
      </c>
      <c r="G6">
        <v>8.2100000000000009</v>
      </c>
      <c r="H6" t="str">
        <f t="shared" si="0"/>
        <v>8.0–8.5</v>
      </c>
      <c r="I6">
        <v>0</v>
      </c>
      <c r="J6">
        <v>0.65</v>
      </c>
    </row>
    <row r="7" spans="1:10" x14ac:dyDescent="0.35">
      <c r="A7">
        <v>330</v>
      </c>
      <c r="B7" t="str">
        <f>IF(Table1[[#This Row],[GRE Score]]&lt;=310,"300–310", IF(Table1[[#This Row],[GRE Score]]&lt;=320,"310–320", IF(Table1[[#This Row],[GRE Score]]&lt;=330,"320–330","330+")))</f>
        <v>320–330</v>
      </c>
      <c r="C7">
        <v>115</v>
      </c>
      <c r="D7">
        <v>5</v>
      </c>
      <c r="E7">
        <v>4.5</v>
      </c>
      <c r="F7">
        <v>3</v>
      </c>
      <c r="G7">
        <v>9.34</v>
      </c>
      <c r="H7" t="str">
        <f t="shared" si="0"/>
        <v>9.0+</v>
      </c>
      <c r="I7">
        <v>1</v>
      </c>
      <c r="J7">
        <v>0.9</v>
      </c>
    </row>
    <row r="8" spans="1:10" x14ac:dyDescent="0.35">
      <c r="A8">
        <v>321</v>
      </c>
      <c r="B8" t="str">
        <f>IF(Table1[[#This Row],[GRE Score]]&lt;=310,"300–310", IF(Table1[[#This Row],[GRE Score]]&lt;=320,"310–320", IF(Table1[[#This Row],[GRE Score]]&lt;=330,"320–330","330+")))</f>
        <v>320–330</v>
      </c>
      <c r="C8">
        <v>109</v>
      </c>
      <c r="D8">
        <v>3</v>
      </c>
      <c r="E8">
        <v>3</v>
      </c>
      <c r="F8">
        <v>4</v>
      </c>
      <c r="G8">
        <v>8.1999999999999993</v>
      </c>
      <c r="H8" t="str">
        <f t="shared" si="0"/>
        <v>8.0–8.5</v>
      </c>
      <c r="I8">
        <v>1</v>
      </c>
      <c r="J8">
        <v>0.75</v>
      </c>
    </row>
    <row r="9" spans="1:10" x14ac:dyDescent="0.35">
      <c r="A9">
        <v>308</v>
      </c>
      <c r="B9" t="str">
        <f>IF(Table1[[#This Row],[GRE Score]]&lt;=310,"300–310", IF(Table1[[#This Row],[GRE Score]]&lt;=320,"310–320", IF(Table1[[#This Row],[GRE Score]]&lt;=330,"320–330","330+")))</f>
        <v>300–310</v>
      </c>
      <c r="C9">
        <v>101</v>
      </c>
      <c r="D9">
        <v>2</v>
      </c>
      <c r="E9">
        <v>3</v>
      </c>
      <c r="F9">
        <v>4</v>
      </c>
      <c r="G9">
        <v>7.9</v>
      </c>
      <c r="H9" t="str">
        <f t="shared" si="0"/>
        <v>7.5–8.0</v>
      </c>
      <c r="I9">
        <v>0</v>
      </c>
      <c r="J9">
        <v>0.68</v>
      </c>
    </row>
    <row r="10" spans="1:10" x14ac:dyDescent="0.35">
      <c r="A10">
        <v>302</v>
      </c>
      <c r="B10" t="str">
        <f>IF(Table1[[#This Row],[GRE Score]]&lt;=310,"300–310", IF(Table1[[#This Row],[GRE Score]]&lt;=320,"310–320", IF(Table1[[#This Row],[GRE Score]]&lt;=330,"320–330","330+")))</f>
        <v>300–310</v>
      </c>
      <c r="C10">
        <v>102</v>
      </c>
      <c r="D10">
        <v>1</v>
      </c>
      <c r="E10">
        <v>2</v>
      </c>
      <c r="F10">
        <v>1.5</v>
      </c>
      <c r="G10">
        <v>8</v>
      </c>
      <c r="H10" t="str">
        <f t="shared" si="0"/>
        <v>8.0–8.5</v>
      </c>
      <c r="I10">
        <v>0</v>
      </c>
      <c r="J10">
        <v>0.5</v>
      </c>
    </row>
    <row r="11" spans="1:10" x14ac:dyDescent="0.35">
      <c r="A11">
        <v>323</v>
      </c>
      <c r="B11" t="str">
        <f>IF(Table1[[#This Row],[GRE Score]]&lt;=310,"300–310", IF(Table1[[#This Row],[GRE Score]]&lt;=320,"310–320", IF(Table1[[#This Row],[GRE Score]]&lt;=330,"320–330","330+")))</f>
        <v>320–330</v>
      </c>
      <c r="C11">
        <v>108</v>
      </c>
      <c r="D11">
        <v>3</v>
      </c>
      <c r="E11">
        <v>3.5</v>
      </c>
      <c r="F11">
        <v>3</v>
      </c>
      <c r="G11">
        <v>8.6</v>
      </c>
      <c r="H11" t="str">
        <f t="shared" si="0"/>
        <v>8.5–9.0</v>
      </c>
      <c r="I11">
        <v>0</v>
      </c>
      <c r="J11">
        <v>0.45</v>
      </c>
    </row>
    <row r="12" spans="1:10" x14ac:dyDescent="0.35">
      <c r="A12">
        <v>325</v>
      </c>
      <c r="B12" t="str">
        <f>IF(Table1[[#This Row],[GRE Score]]&lt;=310,"300–310", IF(Table1[[#This Row],[GRE Score]]&lt;=320,"310–320", IF(Table1[[#This Row],[GRE Score]]&lt;=330,"320–330","330+")))</f>
        <v>320–330</v>
      </c>
      <c r="C12">
        <v>106</v>
      </c>
      <c r="D12">
        <v>3</v>
      </c>
      <c r="E12">
        <v>3.5</v>
      </c>
      <c r="F12">
        <v>4</v>
      </c>
      <c r="G12">
        <v>8.4</v>
      </c>
      <c r="H12" t="str">
        <f t="shared" si="0"/>
        <v>8.0–8.5</v>
      </c>
      <c r="I12">
        <v>1</v>
      </c>
      <c r="J12">
        <v>0.52</v>
      </c>
    </row>
    <row r="13" spans="1:10" x14ac:dyDescent="0.35">
      <c r="A13">
        <v>327</v>
      </c>
      <c r="B13" t="str">
        <f>IF(Table1[[#This Row],[GRE Score]]&lt;=310,"300–310", IF(Table1[[#This Row],[GRE Score]]&lt;=320,"310–320", IF(Table1[[#This Row],[GRE Score]]&lt;=330,"320–330","330+")))</f>
        <v>320–330</v>
      </c>
      <c r="C13">
        <v>111</v>
      </c>
      <c r="D13">
        <v>4</v>
      </c>
      <c r="E13">
        <v>4</v>
      </c>
      <c r="F13">
        <v>4.5</v>
      </c>
      <c r="G13">
        <v>9</v>
      </c>
      <c r="H13" t="str">
        <f t="shared" si="0"/>
        <v>9.0+</v>
      </c>
      <c r="I13">
        <v>1</v>
      </c>
      <c r="J13">
        <v>0.84</v>
      </c>
    </row>
    <row r="14" spans="1:10" x14ac:dyDescent="0.35">
      <c r="A14">
        <v>328</v>
      </c>
      <c r="B14" t="str">
        <f>IF(Table1[[#This Row],[GRE Score]]&lt;=310,"300–310", IF(Table1[[#This Row],[GRE Score]]&lt;=320,"310–320", IF(Table1[[#This Row],[GRE Score]]&lt;=330,"320–330","330+")))</f>
        <v>320–330</v>
      </c>
      <c r="C14">
        <v>112</v>
      </c>
      <c r="D14">
        <v>4</v>
      </c>
      <c r="E14">
        <v>4</v>
      </c>
      <c r="F14">
        <v>4.5</v>
      </c>
      <c r="G14">
        <v>9.1</v>
      </c>
      <c r="H14" t="str">
        <f t="shared" si="0"/>
        <v>9.0+</v>
      </c>
      <c r="I14">
        <v>1</v>
      </c>
      <c r="J14">
        <v>0.78</v>
      </c>
    </row>
    <row r="15" spans="1:10" x14ac:dyDescent="0.35">
      <c r="A15">
        <v>307</v>
      </c>
      <c r="B15" t="str">
        <f>IF(Table1[[#This Row],[GRE Score]]&lt;=310,"300–310", IF(Table1[[#This Row],[GRE Score]]&lt;=320,"310–320", IF(Table1[[#This Row],[GRE Score]]&lt;=330,"320–330","330+")))</f>
        <v>300–310</v>
      </c>
      <c r="C15">
        <v>109</v>
      </c>
      <c r="D15">
        <v>3</v>
      </c>
      <c r="E15">
        <v>4</v>
      </c>
      <c r="F15">
        <v>3</v>
      </c>
      <c r="G15">
        <v>8</v>
      </c>
      <c r="H15" t="str">
        <f t="shared" si="0"/>
        <v>8.0–8.5</v>
      </c>
      <c r="I15">
        <v>1</v>
      </c>
      <c r="J15">
        <v>0.62</v>
      </c>
    </row>
    <row r="16" spans="1:10" x14ac:dyDescent="0.35">
      <c r="A16">
        <v>311</v>
      </c>
      <c r="B16" t="str">
        <f>IF(Table1[[#This Row],[GRE Score]]&lt;=310,"300–310", IF(Table1[[#This Row],[GRE Score]]&lt;=320,"310–320", IF(Table1[[#This Row],[GRE Score]]&lt;=330,"320–330","330+")))</f>
        <v>310–320</v>
      </c>
      <c r="C16">
        <v>104</v>
      </c>
      <c r="D16">
        <v>3</v>
      </c>
      <c r="E16">
        <v>3.5</v>
      </c>
      <c r="F16">
        <v>2</v>
      </c>
      <c r="G16">
        <v>8.1999999999999993</v>
      </c>
      <c r="H16" t="str">
        <f t="shared" si="0"/>
        <v>8.0–8.5</v>
      </c>
      <c r="I16">
        <v>1</v>
      </c>
      <c r="J16">
        <v>0.61</v>
      </c>
    </row>
    <row r="17" spans="1:10" x14ac:dyDescent="0.35">
      <c r="A17">
        <v>314</v>
      </c>
      <c r="B17" t="str">
        <f>IF(Table1[[#This Row],[GRE Score]]&lt;=310,"300–310", IF(Table1[[#This Row],[GRE Score]]&lt;=320,"310–320", IF(Table1[[#This Row],[GRE Score]]&lt;=330,"320–330","330+")))</f>
        <v>310–320</v>
      </c>
      <c r="C17">
        <v>105</v>
      </c>
      <c r="D17">
        <v>3</v>
      </c>
      <c r="E17">
        <v>3.5</v>
      </c>
      <c r="F17">
        <v>2.5</v>
      </c>
      <c r="G17">
        <v>8.3000000000000007</v>
      </c>
      <c r="H17" t="str">
        <f t="shared" si="0"/>
        <v>8.0–8.5</v>
      </c>
      <c r="I17">
        <v>0</v>
      </c>
      <c r="J17">
        <v>0.54</v>
      </c>
    </row>
    <row r="18" spans="1:10" x14ac:dyDescent="0.35">
      <c r="A18">
        <v>317</v>
      </c>
      <c r="B18" t="str">
        <f>IF(Table1[[#This Row],[GRE Score]]&lt;=310,"300–310", IF(Table1[[#This Row],[GRE Score]]&lt;=320,"310–320", IF(Table1[[#This Row],[GRE Score]]&lt;=330,"320–330","330+")))</f>
        <v>310–320</v>
      </c>
      <c r="C18">
        <v>107</v>
      </c>
      <c r="D18">
        <v>3</v>
      </c>
      <c r="E18">
        <v>4</v>
      </c>
      <c r="F18">
        <v>3</v>
      </c>
      <c r="G18">
        <v>8.6999999999999993</v>
      </c>
      <c r="H18" t="str">
        <f t="shared" si="0"/>
        <v>8.5–9.0</v>
      </c>
      <c r="I18">
        <v>0</v>
      </c>
      <c r="J18">
        <v>0.66</v>
      </c>
    </row>
    <row r="19" spans="1:10" x14ac:dyDescent="0.35">
      <c r="A19">
        <v>319</v>
      </c>
      <c r="B19" t="str">
        <f>IF(Table1[[#This Row],[GRE Score]]&lt;=310,"300–310", IF(Table1[[#This Row],[GRE Score]]&lt;=320,"310–320", IF(Table1[[#This Row],[GRE Score]]&lt;=330,"320–330","330+")))</f>
        <v>310–320</v>
      </c>
      <c r="C19">
        <v>106</v>
      </c>
      <c r="D19">
        <v>3</v>
      </c>
      <c r="E19">
        <v>4</v>
      </c>
      <c r="F19">
        <v>3</v>
      </c>
      <c r="G19">
        <v>8</v>
      </c>
      <c r="H19" t="str">
        <f t="shared" si="0"/>
        <v>8.0–8.5</v>
      </c>
      <c r="I19">
        <v>1</v>
      </c>
      <c r="J19">
        <v>0.65</v>
      </c>
    </row>
    <row r="20" spans="1:10" x14ac:dyDescent="0.35">
      <c r="A20">
        <v>318</v>
      </c>
      <c r="B20" t="str">
        <f>IF(Table1[[#This Row],[GRE Score]]&lt;=310,"300–310", IF(Table1[[#This Row],[GRE Score]]&lt;=320,"310–320", IF(Table1[[#This Row],[GRE Score]]&lt;=330,"320–330","330+")))</f>
        <v>310–320</v>
      </c>
      <c r="C20">
        <v>110</v>
      </c>
      <c r="D20">
        <v>3</v>
      </c>
      <c r="E20">
        <v>4</v>
      </c>
      <c r="F20">
        <v>3</v>
      </c>
      <c r="G20">
        <v>8.8000000000000007</v>
      </c>
      <c r="H20" t="str">
        <f t="shared" si="0"/>
        <v>8.5–9.0</v>
      </c>
      <c r="I20">
        <v>0</v>
      </c>
      <c r="J20">
        <v>0.63</v>
      </c>
    </row>
    <row r="21" spans="1:10" x14ac:dyDescent="0.35">
      <c r="A21">
        <v>303</v>
      </c>
      <c r="B21" t="str">
        <f>IF(Table1[[#This Row],[GRE Score]]&lt;=310,"300–310", IF(Table1[[#This Row],[GRE Score]]&lt;=320,"310–320", IF(Table1[[#This Row],[GRE Score]]&lt;=330,"320–330","330+")))</f>
        <v>300–310</v>
      </c>
      <c r="C21">
        <v>102</v>
      </c>
      <c r="D21">
        <v>3</v>
      </c>
      <c r="E21">
        <v>3.5</v>
      </c>
      <c r="F21">
        <v>3</v>
      </c>
      <c r="G21">
        <v>8.5</v>
      </c>
      <c r="H21" t="str">
        <f t="shared" si="0"/>
        <v>8.5–9.0</v>
      </c>
      <c r="I21">
        <v>0</v>
      </c>
      <c r="J21">
        <v>0.62</v>
      </c>
    </row>
    <row r="22" spans="1:10" x14ac:dyDescent="0.35">
      <c r="A22">
        <v>312</v>
      </c>
      <c r="B22" t="str">
        <f>IF(Table1[[#This Row],[GRE Score]]&lt;=310,"300–310", IF(Table1[[#This Row],[GRE Score]]&lt;=320,"310–320", IF(Table1[[#This Row],[GRE Score]]&lt;=330,"320–330","330+")))</f>
        <v>310–320</v>
      </c>
      <c r="C22">
        <v>107</v>
      </c>
      <c r="D22">
        <v>3</v>
      </c>
      <c r="E22">
        <v>3</v>
      </c>
      <c r="F22">
        <v>2</v>
      </c>
      <c r="G22">
        <v>7.9</v>
      </c>
      <c r="H22" t="str">
        <f t="shared" si="0"/>
        <v>7.5–8.0</v>
      </c>
      <c r="I22">
        <v>1</v>
      </c>
      <c r="J22">
        <v>0.64</v>
      </c>
    </row>
    <row r="23" spans="1:10" x14ac:dyDescent="0.35">
      <c r="A23">
        <v>325</v>
      </c>
      <c r="B23" t="str">
        <f>IF(Table1[[#This Row],[GRE Score]]&lt;=310,"300–310", IF(Table1[[#This Row],[GRE Score]]&lt;=320,"310–320", IF(Table1[[#This Row],[GRE Score]]&lt;=330,"320–330","330+")))</f>
        <v>320–330</v>
      </c>
      <c r="C23">
        <v>114</v>
      </c>
      <c r="D23">
        <v>4</v>
      </c>
      <c r="E23">
        <v>3</v>
      </c>
      <c r="F23">
        <v>2</v>
      </c>
      <c r="G23">
        <v>8.4</v>
      </c>
      <c r="H23" t="str">
        <f t="shared" si="0"/>
        <v>8.0–8.5</v>
      </c>
      <c r="I23">
        <v>0</v>
      </c>
      <c r="J23">
        <v>0.7</v>
      </c>
    </row>
    <row r="24" spans="1:10" x14ac:dyDescent="0.35">
      <c r="A24">
        <v>328</v>
      </c>
      <c r="B24" t="str">
        <f>IF(Table1[[#This Row],[GRE Score]]&lt;=310,"300–310", IF(Table1[[#This Row],[GRE Score]]&lt;=320,"310–320", IF(Table1[[#This Row],[GRE Score]]&lt;=330,"320–330","330+")))</f>
        <v>320–330</v>
      </c>
      <c r="C24">
        <v>116</v>
      </c>
      <c r="D24">
        <v>5</v>
      </c>
      <c r="E24">
        <v>5</v>
      </c>
      <c r="F24">
        <v>5</v>
      </c>
      <c r="G24">
        <v>9.5</v>
      </c>
      <c r="H24" t="str">
        <f t="shared" si="0"/>
        <v>9.0+</v>
      </c>
      <c r="I24">
        <v>1</v>
      </c>
      <c r="J24">
        <v>0.94</v>
      </c>
    </row>
    <row r="25" spans="1:10" x14ac:dyDescent="0.35">
      <c r="A25">
        <v>334</v>
      </c>
      <c r="B25" t="str">
        <f>IF(Table1[[#This Row],[GRE Score]]&lt;=310,"300–310", IF(Table1[[#This Row],[GRE Score]]&lt;=320,"310–320", IF(Table1[[#This Row],[GRE Score]]&lt;=330,"320–330","330+")))</f>
        <v>330+</v>
      </c>
      <c r="C25">
        <v>119</v>
      </c>
      <c r="D25">
        <v>5</v>
      </c>
      <c r="E25">
        <v>5</v>
      </c>
      <c r="F25">
        <v>4.5</v>
      </c>
      <c r="G25">
        <v>9.6999999999999993</v>
      </c>
      <c r="H25" t="str">
        <f t="shared" si="0"/>
        <v>9.0+</v>
      </c>
      <c r="I25">
        <v>1</v>
      </c>
      <c r="J25">
        <v>0.95</v>
      </c>
    </row>
    <row r="26" spans="1:10" x14ac:dyDescent="0.35">
      <c r="A26">
        <v>336</v>
      </c>
      <c r="B26" t="str">
        <f>IF(Table1[[#This Row],[GRE Score]]&lt;=310,"300–310", IF(Table1[[#This Row],[GRE Score]]&lt;=320,"310–320", IF(Table1[[#This Row],[GRE Score]]&lt;=330,"320–330","330+")))</f>
        <v>330+</v>
      </c>
      <c r="C26">
        <v>119</v>
      </c>
      <c r="D26">
        <v>5</v>
      </c>
      <c r="E26">
        <v>4</v>
      </c>
      <c r="F26">
        <v>3.5</v>
      </c>
      <c r="G26">
        <v>9.8000000000000007</v>
      </c>
      <c r="H26" t="str">
        <f t="shared" si="0"/>
        <v>9.0+</v>
      </c>
      <c r="I26">
        <v>1</v>
      </c>
      <c r="J26">
        <v>0.97</v>
      </c>
    </row>
    <row r="27" spans="1:10" x14ac:dyDescent="0.35">
      <c r="A27">
        <v>340</v>
      </c>
      <c r="B27" t="str">
        <f>IF(Table1[[#This Row],[GRE Score]]&lt;=310,"300–310", IF(Table1[[#This Row],[GRE Score]]&lt;=320,"310–320", IF(Table1[[#This Row],[GRE Score]]&lt;=330,"320–330","330+")))</f>
        <v>330+</v>
      </c>
      <c r="C27">
        <v>120</v>
      </c>
      <c r="D27">
        <v>5</v>
      </c>
      <c r="E27">
        <v>4.5</v>
      </c>
      <c r="F27">
        <v>4.5</v>
      </c>
      <c r="G27">
        <v>9.6</v>
      </c>
      <c r="H27" t="str">
        <f t="shared" si="0"/>
        <v>9.0+</v>
      </c>
      <c r="I27">
        <v>1</v>
      </c>
      <c r="J27">
        <v>0.94</v>
      </c>
    </row>
    <row r="28" spans="1:10" x14ac:dyDescent="0.35">
      <c r="A28">
        <v>322</v>
      </c>
      <c r="B28" t="str">
        <f>IF(Table1[[#This Row],[GRE Score]]&lt;=310,"300–310", IF(Table1[[#This Row],[GRE Score]]&lt;=320,"310–320", IF(Table1[[#This Row],[GRE Score]]&lt;=330,"320–330","330+")))</f>
        <v>320–330</v>
      </c>
      <c r="C28">
        <v>109</v>
      </c>
      <c r="D28">
        <v>5</v>
      </c>
      <c r="E28">
        <v>4.5</v>
      </c>
      <c r="F28">
        <v>3.5</v>
      </c>
      <c r="G28">
        <v>8.8000000000000007</v>
      </c>
      <c r="H28" t="str">
        <f t="shared" si="0"/>
        <v>8.5–9.0</v>
      </c>
      <c r="I28">
        <v>0</v>
      </c>
      <c r="J28">
        <v>0.76</v>
      </c>
    </row>
    <row r="29" spans="1:10" x14ac:dyDescent="0.35">
      <c r="A29">
        <v>298</v>
      </c>
      <c r="B29" t="str">
        <f>IF(Table1[[#This Row],[GRE Score]]&lt;=310,"300–310", IF(Table1[[#This Row],[GRE Score]]&lt;=320,"310–320", IF(Table1[[#This Row],[GRE Score]]&lt;=330,"320–330","330+")))</f>
        <v>300–310</v>
      </c>
      <c r="C29">
        <v>98</v>
      </c>
      <c r="D29">
        <v>2</v>
      </c>
      <c r="E29">
        <v>1.5</v>
      </c>
      <c r="F29">
        <v>2.5</v>
      </c>
      <c r="G29">
        <v>7.5</v>
      </c>
      <c r="H29" t="str">
        <f t="shared" si="0"/>
        <v>7.5–8.0</v>
      </c>
      <c r="I29">
        <v>1</v>
      </c>
      <c r="J29">
        <v>0.44</v>
      </c>
    </row>
    <row r="30" spans="1:10" x14ac:dyDescent="0.35">
      <c r="A30">
        <v>295</v>
      </c>
      <c r="B30" t="str">
        <f>IF(Table1[[#This Row],[GRE Score]]&lt;=310,"300–310", IF(Table1[[#This Row],[GRE Score]]&lt;=320,"310–320", IF(Table1[[#This Row],[GRE Score]]&lt;=330,"320–330","330+")))</f>
        <v>300–310</v>
      </c>
      <c r="C30">
        <v>93</v>
      </c>
      <c r="D30">
        <v>1</v>
      </c>
      <c r="E30">
        <v>2</v>
      </c>
      <c r="F30">
        <v>2</v>
      </c>
      <c r="G30">
        <v>7.2</v>
      </c>
      <c r="H30" t="str">
        <f t="shared" si="0"/>
        <v>7.5–8.0</v>
      </c>
      <c r="I30">
        <v>0</v>
      </c>
      <c r="J30">
        <v>0.46</v>
      </c>
    </row>
    <row r="31" spans="1:10" x14ac:dyDescent="0.35">
      <c r="A31">
        <v>310</v>
      </c>
      <c r="B31" t="str">
        <f>IF(Table1[[#This Row],[GRE Score]]&lt;=310,"300–310", IF(Table1[[#This Row],[GRE Score]]&lt;=320,"310–320", IF(Table1[[#This Row],[GRE Score]]&lt;=330,"320–330","330+")))</f>
        <v>300–310</v>
      </c>
      <c r="C31">
        <v>99</v>
      </c>
      <c r="D31">
        <v>2</v>
      </c>
      <c r="E31">
        <v>1.5</v>
      </c>
      <c r="F31">
        <v>2</v>
      </c>
      <c r="G31">
        <v>7.3</v>
      </c>
      <c r="H31" t="str">
        <f t="shared" si="0"/>
        <v>7.5–8.0</v>
      </c>
      <c r="I31">
        <v>0</v>
      </c>
      <c r="J31">
        <v>0.54</v>
      </c>
    </row>
    <row r="32" spans="1:10" x14ac:dyDescent="0.35">
      <c r="A32">
        <v>300</v>
      </c>
      <c r="B32" t="str">
        <f>IF(Table1[[#This Row],[GRE Score]]&lt;=310,"300–310", IF(Table1[[#This Row],[GRE Score]]&lt;=320,"310–320", IF(Table1[[#This Row],[GRE Score]]&lt;=330,"320–330","330+")))</f>
        <v>300–310</v>
      </c>
      <c r="C32">
        <v>97</v>
      </c>
      <c r="D32">
        <v>2</v>
      </c>
      <c r="E32">
        <v>3</v>
      </c>
      <c r="F32">
        <v>3</v>
      </c>
      <c r="G32">
        <v>8.1</v>
      </c>
      <c r="H32" t="str">
        <f t="shared" si="0"/>
        <v>8.0–8.5</v>
      </c>
      <c r="I32">
        <v>1</v>
      </c>
      <c r="J32">
        <v>0.65</v>
      </c>
    </row>
    <row r="33" spans="1:10" x14ac:dyDescent="0.35">
      <c r="A33">
        <v>327</v>
      </c>
      <c r="B33" t="str">
        <f>IF(Table1[[#This Row],[GRE Score]]&lt;=310,"300–310", IF(Table1[[#This Row],[GRE Score]]&lt;=320,"310–320", IF(Table1[[#This Row],[GRE Score]]&lt;=330,"320–330","330+")))</f>
        <v>320–330</v>
      </c>
      <c r="C33">
        <v>103</v>
      </c>
      <c r="D33">
        <v>3</v>
      </c>
      <c r="E33">
        <v>4</v>
      </c>
      <c r="F33">
        <v>4</v>
      </c>
      <c r="G33">
        <v>8.3000000000000007</v>
      </c>
      <c r="H33" t="str">
        <f t="shared" si="0"/>
        <v>8.0–8.5</v>
      </c>
      <c r="I33">
        <v>1</v>
      </c>
      <c r="J33">
        <v>0.74</v>
      </c>
    </row>
    <row r="34" spans="1:10" x14ac:dyDescent="0.35">
      <c r="A34">
        <v>338</v>
      </c>
      <c r="B34" t="str">
        <f>IF(Table1[[#This Row],[GRE Score]]&lt;=310,"300–310", IF(Table1[[#This Row],[GRE Score]]&lt;=320,"310–320", IF(Table1[[#This Row],[GRE Score]]&lt;=330,"320–330","330+")))</f>
        <v>330+</v>
      </c>
      <c r="C34">
        <v>118</v>
      </c>
      <c r="D34">
        <v>4</v>
      </c>
      <c r="E34">
        <v>3</v>
      </c>
      <c r="F34">
        <v>4.5</v>
      </c>
      <c r="G34">
        <v>9.4</v>
      </c>
      <c r="H34" t="str">
        <f t="shared" si="0"/>
        <v>9.0+</v>
      </c>
      <c r="I34">
        <v>1</v>
      </c>
      <c r="J34">
        <v>0.91</v>
      </c>
    </row>
    <row r="35" spans="1:10" x14ac:dyDescent="0.35">
      <c r="A35">
        <v>340</v>
      </c>
      <c r="B35" t="str">
        <f>IF(Table1[[#This Row],[GRE Score]]&lt;=310,"300–310", IF(Table1[[#This Row],[GRE Score]]&lt;=320,"310–320", IF(Table1[[#This Row],[GRE Score]]&lt;=330,"320–330","330+")))</f>
        <v>330+</v>
      </c>
      <c r="C35">
        <v>114</v>
      </c>
      <c r="D35">
        <v>5</v>
      </c>
      <c r="E35">
        <v>4</v>
      </c>
      <c r="F35">
        <v>4</v>
      </c>
      <c r="G35">
        <v>9.6</v>
      </c>
      <c r="H35" t="str">
        <f t="shared" si="0"/>
        <v>9.0+</v>
      </c>
      <c r="I35">
        <v>1</v>
      </c>
      <c r="J35">
        <v>0.9</v>
      </c>
    </row>
    <row r="36" spans="1:10" x14ac:dyDescent="0.35">
      <c r="A36">
        <v>331</v>
      </c>
      <c r="B36" t="str">
        <f>IF(Table1[[#This Row],[GRE Score]]&lt;=310,"300–310", IF(Table1[[#This Row],[GRE Score]]&lt;=320,"310–320", IF(Table1[[#This Row],[GRE Score]]&lt;=330,"320–330","330+")))</f>
        <v>330+</v>
      </c>
      <c r="C36">
        <v>112</v>
      </c>
      <c r="D36">
        <v>5</v>
      </c>
      <c r="E36">
        <v>4</v>
      </c>
      <c r="F36">
        <v>5</v>
      </c>
      <c r="G36">
        <v>9.8000000000000007</v>
      </c>
      <c r="H36" t="str">
        <f t="shared" si="0"/>
        <v>9.0+</v>
      </c>
      <c r="I36">
        <v>1</v>
      </c>
      <c r="J36">
        <v>0.94</v>
      </c>
    </row>
    <row r="37" spans="1:10" x14ac:dyDescent="0.35">
      <c r="A37">
        <v>320</v>
      </c>
      <c r="B37" t="str">
        <f>IF(Table1[[#This Row],[GRE Score]]&lt;=310,"300–310", IF(Table1[[#This Row],[GRE Score]]&lt;=320,"310–320", IF(Table1[[#This Row],[GRE Score]]&lt;=330,"320–330","330+")))</f>
        <v>310–320</v>
      </c>
      <c r="C37">
        <v>110</v>
      </c>
      <c r="D37">
        <v>5</v>
      </c>
      <c r="E37">
        <v>5</v>
      </c>
      <c r="F37">
        <v>5</v>
      </c>
      <c r="G37">
        <v>9.1999999999999993</v>
      </c>
      <c r="H37" t="str">
        <f t="shared" si="0"/>
        <v>9.0+</v>
      </c>
      <c r="I37">
        <v>1</v>
      </c>
      <c r="J37">
        <v>0.88</v>
      </c>
    </row>
    <row r="38" spans="1:10" x14ac:dyDescent="0.35">
      <c r="A38">
        <v>299</v>
      </c>
      <c r="B38" t="str">
        <f>IF(Table1[[#This Row],[GRE Score]]&lt;=310,"300–310", IF(Table1[[#This Row],[GRE Score]]&lt;=320,"310–320", IF(Table1[[#This Row],[GRE Score]]&lt;=330,"320–330","330+")))</f>
        <v>300–310</v>
      </c>
      <c r="C38">
        <v>106</v>
      </c>
      <c r="D38">
        <v>2</v>
      </c>
      <c r="E38">
        <v>4</v>
      </c>
      <c r="F38">
        <v>4</v>
      </c>
      <c r="G38">
        <v>8.4</v>
      </c>
      <c r="H38" t="str">
        <f t="shared" si="0"/>
        <v>8.0–8.5</v>
      </c>
      <c r="I38">
        <v>0</v>
      </c>
      <c r="J38">
        <v>0.64</v>
      </c>
    </row>
    <row r="39" spans="1:10" x14ac:dyDescent="0.35">
      <c r="A39">
        <v>300</v>
      </c>
      <c r="B39" t="str">
        <f>IF(Table1[[#This Row],[GRE Score]]&lt;=310,"300–310", IF(Table1[[#This Row],[GRE Score]]&lt;=320,"310–320", IF(Table1[[#This Row],[GRE Score]]&lt;=330,"320–330","330+")))</f>
        <v>300–310</v>
      </c>
      <c r="C39">
        <v>105</v>
      </c>
      <c r="D39">
        <v>1</v>
      </c>
      <c r="E39">
        <v>1</v>
      </c>
      <c r="F39">
        <v>2</v>
      </c>
      <c r="G39">
        <v>7.8</v>
      </c>
      <c r="H39" t="str">
        <f t="shared" si="0"/>
        <v>7.5–8.0</v>
      </c>
      <c r="I39">
        <v>0</v>
      </c>
      <c r="J39">
        <v>0.57999999999999996</v>
      </c>
    </row>
    <row r="40" spans="1:10" x14ac:dyDescent="0.35">
      <c r="A40">
        <v>304</v>
      </c>
      <c r="B40" t="str">
        <f>IF(Table1[[#This Row],[GRE Score]]&lt;=310,"300–310", IF(Table1[[#This Row],[GRE Score]]&lt;=320,"310–320", IF(Table1[[#This Row],[GRE Score]]&lt;=330,"320–330","330+")))</f>
        <v>300–310</v>
      </c>
      <c r="C40">
        <v>105</v>
      </c>
      <c r="D40">
        <v>1</v>
      </c>
      <c r="E40">
        <v>3</v>
      </c>
      <c r="F40">
        <v>1.5</v>
      </c>
      <c r="G40">
        <v>7.5</v>
      </c>
      <c r="H40" t="str">
        <f t="shared" si="0"/>
        <v>7.5–8.0</v>
      </c>
      <c r="I40">
        <v>0</v>
      </c>
      <c r="J40">
        <v>0.52</v>
      </c>
    </row>
    <row r="41" spans="1:10" x14ac:dyDescent="0.35">
      <c r="A41">
        <v>307</v>
      </c>
      <c r="B41" t="str">
        <f>IF(Table1[[#This Row],[GRE Score]]&lt;=310,"300–310", IF(Table1[[#This Row],[GRE Score]]&lt;=320,"310–320", IF(Table1[[#This Row],[GRE Score]]&lt;=330,"320–330","330+")))</f>
        <v>300–310</v>
      </c>
      <c r="C41">
        <v>108</v>
      </c>
      <c r="D41">
        <v>2</v>
      </c>
      <c r="E41">
        <v>4</v>
      </c>
      <c r="F41">
        <v>3.5</v>
      </c>
      <c r="G41">
        <v>7.7</v>
      </c>
      <c r="H41" t="str">
        <f t="shared" si="0"/>
        <v>7.5–8.0</v>
      </c>
      <c r="I41">
        <v>0</v>
      </c>
      <c r="J41">
        <v>0.48</v>
      </c>
    </row>
    <row r="42" spans="1:10" x14ac:dyDescent="0.35">
      <c r="A42">
        <v>308</v>
      </c>
      <c r="B42" t="str">
        <f>IF(Table1[[#This Row],[GRE Score]]&lt;=310,"300–310", IF(Table1[[#This Row],[GRE Score]]&lt;=320,"310–320", IF(Table1[[#This Row],[GRE Score]]&lt;=330,"320–330","330+")))</f>
        <v>300–310</v>
      </c>
      <c r="C42">
        <v>110</v>
      </c>
      <c r="D42">
        <v>3</v>
      </c>
      <c r="E42">
        <v>3.5</v>
      </c>
      <c r="F42">
        <v>3</v>
      </c>
      <c r="G42">
        <v>8</v>
      </c>
      <c r="H42" t="str">
        <f t="shared" si="0"/>
        <v>8.0–8.5</v>
      </c>
      <c r="I42">
        <v>1</v>
      </c>
      <c r="J42">
        <v>0.46</v>
      </c>
    </row>
    <row r="43" spans="1:10" x14ac:dyDescent="0.35">
      <c r="A43">
        <v>316</v>
      </c>
      <c r="B43" t="str">
        <f>IF(Table1[[#This Row],[GRE Score]]&lt;=310,"300–310", IF(Table1[[#This Row],[GRE Score]]&lt;=320,"310–320", IF(Table1[[#This Row],[GRE Score]]&lt;=330,"320–330","330+")))</f>
        <v>310–320</v>
      </c>
      <c r="C43">
        <v>105</v>
      </c>
      <c r="D43">
        <v>2</v>
      </c>
      <c r="E43">
        <v>2.5</v>
      </c>
      <c r="F43">
        <v>2.5</v>
      </c>
      <c r="G43">
        <v>8.1999999999999993</v>
      </c>
      <c r="H43" t="str">
        <f t="shared" si="0"/>
        <v>8.0–8.5</v>
      </c>
      <c r="I43">
        <v>1</v>
      </c>
      <c r="J43">
        <v>0.49</v>
      </c>
    </row>
    <row r="44" spans="1:10" x14ac:dyDescent="0.35">
      <c r="A44">
        <v>313</v>
      </c>
      <c r="B44" t="str">
        <f>IF(Table1[[#This Row],[GRE Score]]&lt;=310,"300–310", IF(Table1[[#This Row],[GRE Score]]&lt;=320,"310–320", IF(Table1[[#This Row],[GRE Score]]&lt;=330,"320–330","330+")))</f>
        <v>310–320</v>
      </c>
      <c r="C44">
        <v>107</v>
      </c>
      <c r="D44">
        <v>2</v>
      </c>
      <c r="E44">
        <v>2.5</v>
      </c>
      <c r="F44">
        <v>2</v>
      </c>
      <c r="G44">
        <v>8.5</v>
      </c>
      <c r="H44" t="str">
        <f t="shared" si="0"/>
        <v>8.5–9.0</v>
      </c>
      <c r="I44">
        <v>1</v>
      </c>
      <c r="J44">
        <v>0.53</v>
      </c>
    </row>
    <row r="45" spans="1:10" x14ac:dyDescent="0.35">
      <c r="A45">
        <v>332</v>
      </c>
      <c r="B45" t="str">
        <f>IF(Table1[[#This Row],[GRE Score]]&lt;=310,"300–310", IF(Table1[[#This Row],[GRE Score]]&lt;=320,"310–320", IF(Table1[[#This Row],[GRE Score]]&lt;=330,"320–330","330+")))</f>
        <v>330+</v>
      </c>
      <c r="C45">
        <v>117</v>
      </c>
      <c r="D45">
        <v>4</v>
      </c>
      <c r="E45">
        <v>4.5</v>
      </c>
      <c r="F45">
        <v>4</v>
      </c>
      <c r="G45">
        <v>9.1</v>
      </c>
      <c r="H45" t="str">
        <f t="shared" si="0"/>
        <v>9.0+</v>
      </c>
      <c r="I45">
        <v>0</v>
      </c>
      <c r="J45">
        <v>0.87</v>
      </c>
    </row>
    <row r="46" spans="1:10" x14ac:dyDescent="0.35">
      <c r="A46">
        <v>326</v>
      </c>
      <c r="B46" t="str">
        <f>IF(Table1[[#This Row],[GRE Score]]&lt;=310,"300–310", IF(Table1[[#This Row],[GRE Score]]&lt;=320,"310–320", IF(Table1[[#This Row],[GRE Score]]&lt;=330,"320–330","330+")))</f>
        <v>320–330</v>
      </c>
      <c r="C46">
        <v>113</v>
      </c>
      <c r="D46">
        <v>5</v>
      </c>
      <c r="E46">
        <v>4.5</v>
      </c>
      <c r="F46">
        <v>4</v>
      </c>
      <c r="G46">
        <v>9.4</v>
      </c>
      <c r="H46" t="str">
        <f t="shared" si="0"/>
        <v>9.0+</v>
      </c>
      <c r="I46">
        <v>1</v>
      </c>
      <c r="J46">
        <v>0.91</v>
      </c>
    </row>
    <row r="47" spans="1:10" x14ac:dyDescent="0.35">
      <c r="A47">
        <v>322</v>
      </c>
      <c r="B47" t="str">
        <f>IF(Table1[[#This Row],[GRE Score]]&lt;=310,"300–310", IF(Table1[[#This Row],[GRE Score]]&lt;=320,"310–320", IF(Table1[[#This Row],[GRE Score]]&lt;=330,"320–330","330+")))</f>
        <v>320–330</v>
      </c>
      <c r="C47">
        <v>110</v>
      </c>
      <c r="D47">
        <v>5</v>
      </c>
      <c r="E47">
        <v>5</v>
      </c>
      <c r="F47">
        <v>4</v>
      </c>
      <c r="G47">
        <v>9.1</v>
      </c>
      <c r="H47" t="str">
        <f t="shared" si="0"/>
        <v>9.0+</v>
      </c>
      <c r="I47">
        <v>1</v>
      </c>
      <c r="J47">
        <v>0.88</v>
      </c>
    </row>
    <row r="48" spans="1:10" x14ac:dyDescent="0.35">
      <c r="A48">
        <v>329</v>
      </c>
      <c r="B48" t="str">
        <f>IF(Table1[[#This Row],[GRE Score]]&lt;=310,"300–310", IF(Table1[[#This Row],[GRE Score]]&lt;=320,"310–320", IF(Table1[[#This Row],[GRE Score]]&lt;=330,"320–330","330+")))</f>
        <v>320–330</v>
      </c>
      <c r="C48">
        <v>114</v>
      </c>
      <c r="D48">
        <v>5</v>
      </c>
      <c r="E48">
        <v>4</v>
      </c>
      <c r="F48">
        <v>5</v>
      </c>
      <c r="G48">
        <v>9.3000000000000007</v>
      </c>
      <c r="H48" t="str">
        <f t="shared" si="0"/>
        <v>9.0+</v>
      </c>
      <c r="I48">
        <v>1</v>
      </c>
      <c r="J48">
        <v>0.86</v>
      </c>
    </row>
    <row r="49" spans="1:10" x14ac:dyDescent="0.35">
      <c r="A49">
        <v>339</v>
      </c>
      <c r="B49" t="str">
        <f>IF(Table1[[#This Row],[GRE Score]]&lt;=310,"300–310", IF(Table1[[#This Row],[GRE Score]]&lt;=320,"310–320", IF(Table1[[#This Row],[GRE Score]]&lt;=330,"320–330","330+")))</f>
        <v>330+</v>
      </c>
      <c r="C49">
        <v>119</v>
      </c>
      <c r="D49">
        <v>5</v>
      </c>
      <c r="E49">
        <v>4.5</v>
      </c>
      <c r="F49">
        <v>4</v>
      </c>
      <c r="G49">
        <v>9.6999999999999993</v>
      </c>
      <c r="H49" t="str">
        <f t="shared" si="0"/>
        <v>9.0+</v>
      </c>
      <c r="I49">
        <v>0</v>
      </c>
      <c r="J49">
        <v>0.89</v>
      </c>
    </row>
    <row r="50" spans="1:10" x14ac:dyDescent="0.35">
      <c r="A50">
        <v>321</v>
      </c>
      <c r="B50" t="str">
        <f>IF(Table1[[#This Row],[GRE Score]]&lt;=310,"300–310", IF(Table1[[#This Row],[GRE Score]]&lt;=320,"310–320", IF(Table1[[#This Row],[GRE Score]]&lt;=330,"320–330","330+")))</f>
        <v>320–330</v>
      </c>
      <c r="C50">
        <v>110</v>
      </c>
      <c r="D50">
        <v>3</v>
      </c>
      <c r="E50">
        <v>3.5</v>
      </c>
      <c r="F50">
        <v>5</v>
      </c>
      <c r="G50">
        <v>8.85</v>
      </c>
      <c r="H50" t="str">
        <f t="shared" si="0"/>
        <v>8.5–9.0</v>
      </c>
      <c r="I50">
        <v>1</v>
      </c>
      <c r="J50">
        <v>0.82</v>
      </c>
    </row>
    <row r="51" spans="1:10" x14ac:dyDescent="0.35">
      <c r="A51">
        <v>327</v>
      </c>
      <c r="B51" t="str">
        <f>IF(Table1[[#This Row],[GRE Score]]&lt;=310,"300–310", IF(Table1[[#This Row],[GRE Score]]&lt;=320,"310–320", IF(Table1[[#This Row],[GRE Score]]&lt;=330,"320–330","330+")))</f>
        <v>320–330</v>
      </c>
      <c r="C51">
        <v>111</v>
      </c>
      <c r="D51">
        <v>4</v>
      </c>
      <c r="E51">
        <v>3</v>
      </c>
      <c r="F51">
        <v>4</v>
      </c>
      <c r="G51">
        <v>8.4</v>
      </c>
      <c r="H51" t="str">
        <f t="shared" si="0"/>
        <v>8.0–8.5</v>
      </c>
      <c r="I51">
        <v>1</v>
      </c>
      <c r="J51">
        <v>0.78</v>
      </c>
    </row>
    <row r="52" spans="1:10" x14ac:dyDescent="0.35">
      <c r="A52">
        <v>313</v>
      </c>
      <c r="B52" t="str">
        <f>IF(Table1[[#This Row],[GRE Score]]&lt;=310,"300–310", IF(Table1[[#This Row],[GRE Score]]&lt;=320,"310–320", IF(Table1[[#This Row],[GRE Score]]&lt;=330,"320–330","330+")))</f>
        <v>310–320</v>
      </c>
      <c r="C52">
        <v>98</v>
      </c>
      <c r="D52">
        <v>3</v>
      </c>
      <c r="E52">
        <v>2.5</v>
      </c>
      <c r="F52">
        <v>4.5</v>
      </c>
      <c r="G52">
        <v>8.3000000000000007</v>
      </c>
      <c r="H52" t="str">
        <f t="shared" si="0"/>
        <v>8.0–8.5</v>
      </c>
      <c r="I52">
        <v>1</v>
      </c>
      <c r="J52">
        <v>0.76</v>
      </c>
    </row>
    <row r="53" spans="1:10" x14ac:dyDescent="0.35">
      <c r="A53">
        <v>312</v>
      </c>
      <c r="B53" t="str">
        <f>IF(Table1[[#This Row],[GRE Score]]&lt;=310,"300–310", IF(Table1[[#This Row],[GRE Score]]&lt;=320,"310–320", IF(Table1[[#This Row],[GRE Score]]&lt;=330,"320–330","330+")))</f>
        <v>310–320</v>
      </c>
      <c r="C53">
        <v>100</v>
      </c>
      <c r="D53">
        <v>2</v>
      </c>
      <c r="E53">
        <v>1.5</v>
      </c>
      <c r="F53">
        <v>3.5</v>
      </c>
      <c r="G53">
        <v>7.9</v>
      </c>
      <c r="H53" t="str">
        <f t="shared" si="0"/>
        <v>7.5–8.0</v>
      </c>
      <c r="I53">
        <v>1</v>
      </c>
      <c r="J53">
        <v>0.56000000000000005</v>
      </c>
    </row>
    <row r="54" spans="1:10" x14ac:dyDescent="0.35">
      <c r="A54">
        <v>334</v>
      </c>
      <c r="B54" t="str">
        <f>IF(Table1[[#This Row],[GRE Score]]&lt;=310,"300–310", IF(Table1[[#This Row],[GRE Score]]&lt;=320,"310–320", IF(Table1[[#This Row],[GRE Score]]&lt;=330,"320–330","330+")))</f>
        <v>330+</v>
      </c>
      <c r="C54">
        <v>116</v>
      </c>
      <c r="D54">
        <v>4</v>
      </c>
      <c r="E54">
        <v>4</v>
      </c>
      <c r="F54">
        <v>3</v>
      </c>
      <c r="G54">
        <v>8</v>
      </c>
      <c r="H54" t="str">
        <f t="shared" si="0"/>
        <v>8.0–8.5</v>
      </c>
      <c r="I54">
        <v>1</v>
      </c>
      <c r="J54">
        <v>0.78</v>
      </c>
    </row>
    <row r="55" spans="1:10" x14ac:dyDescent="0.35">
      <c r="A55">
        <v>324</v>
      </c>
      <c r="B55" t="str">
        <f>IF(Table1[[#This Row],[GRE Score]]&lt;=310,"300–310", IF(Table1[[#This Row],[GRE Score]]&lt;=320,"310–320", IF(Table1[[#This Row],[GRE Score]]&lt;=330,"320–330","330+")))</f>
        <v>320–330</v>
      </c>
      <c r="C55">
        <v>112</v>
      </c>
      <c r="D55">
        <v>4</v>
      </c>
      <c r="E55">
        <v>4</v>
      </c>
      <c r="F55">
        <v>2.5</v>
      </c>
      <c r="G55">
        <v>8.1</v>
      </c>
      <c r="H55" t="str">
        <f t="shared" si="0"/>
        <v>8.0–8.5</v>
      </c>
      <c r="I55">
        <v>1</v>
      </c>
      <c r="J55">
        <v>0.72</v>
      </c>
    </row>
    <row r="56" spans="1:10" x14ac:dyDescent="0.35">
      <c r="A56">
        <v>322</v>
      </c>
      <c r="B56" t="str">
        <f>IF(Table1[[#This Row],[GRE Score]]&lt;=310,"300–310", IF(Table1[[#This Row],[GRE Score]]&lt;=320,"310–320", IF(Table1[[#This Row],[GRE Score]]&lt;=330,"320–330","330+")))</f>
        <v>320–330</v>
      </c>
      <c r="C56">
        <v>110</v>
      </c>
      <c r="D56">
        <v>3</v>
      </c>
      <c r="E56">
        <v>3</v>
      </c>
      <c r="F56">
        <v>3.5</v>
      </c>
      <c r="G56">
        <v>8</v>
      </c>
      <c r="H56" t="str">
        <f t="shared" si="0"/>
        <v>8.0–8.5</v>
      </c>
      <c r="I56">
        <v>0</v>
      </c>
      <c r="J56">
        <v>0.7</v>
      </c>
    </row>
    <row r="57" spans="1:10" x14ac:dyDescent="0.35">
      <c r="A57">
        <v>320</v>
      </c>
      <c r="B57" t="str">
        <f>IF(Table1[[#This Row],[GRE Score]]&lt;=310,"300–310", IF(Table1[[#This Row],[GRE Score]]&lt;=320,"310–320", IF(Table1[[#This Row],[GRE Score]]&lt;=330,"320–330","330+")))</f>
        <v>310–320</v>
      </c>
      <c r="C57">
        <v>103</v>
      </c>
      <c r="D57">
        <v>3</v>
      </c>
      <c r="E57">
        <v>3</v>
      </c>
      <c r="F57">
        <v>3</v>
      </c>
      <c r="G57">
        <v>7.7</v>
      </c>
      <c r="H57" t="str">
        <f t="shared" si="0"/>
        <v>7.5–8.0</v>
      </c>
      <c r="I57">
        <v>0</v>
      </c>
      <c r="J57">
        <v>0.64</v>
      </c>
    </row>
    <row r="58" spans="1:10" x14ac:dyDescent="0.35">
      <c r="A58">
        <v>316</v>
      </c>
      <c r="B58" t="str">
        <f>IF(Table1[[#This Row],[GRE Score]]&lt;=310,"300–310", IF(Table1[[#This Row],[GRE Score]]&lt;=320,"310–320", IF(Table1[[#This Row],[GRE Score]]&lt;=330,"320–330","330+")))</f>
        <v>310–320</v>
      </c>
      <c r="C58">
        <v>102</v>
      </c>
      <c r="D58">
        <v>3</v>
      </c>
      <c r="E58">
        <v>2</v>
      </c>
      <c r="F58">
        <v>3</v>
      </c>
      <c r="G58">
        <v>7.4</v>
      </c>
      <c r="H58" t="str">
        <f t="shared" si="0"/>
        <v>7.5–8.0</v>
      </c>
      <c r="I58">
        <v>0</v>
      </c>
      <c r="J58">
        <v>0.64</v>
      </c>
    </row>
    <row r="59" spans="1:10" x14ac:dyDescent="0.35">
      <c r="A59">
        <v>298</v>
      </c>
      <c r="B59" t="str">
        <f>IF(Table1[[#This Row],[GRE Score]]&lt;=310,"300–310", IF(Table1[[#This Row],[GRE Score]]&lt;=320,"310–320", IF(Table1[[#This Row],[GRE Score]]&lt;=330,"320–330","330+")))</f>
        <v>300–310</v>
      </c>
      <c r="C59">
        <v>99</v>
      </c>
      <c r="D59">
        <v>2</v>
      </c>
      <c r="E59">
        <v>4</v>
      </c>
      <c r="F59">
        <v>2</v>
      </c>
      <c r="G59">
        <v>7.6</v>
      </c>
      <c r="H59" t="str">
        <f t="shared" si="0"/>
        <v>7.5–8.0</v>
      </c>
      <c r="I59">
        <v>0</v>
      </c>
      <c r="J59">
        <v>0.46</v>
      </c>
    </row>
    <row r="60" spans="1:10" x14ac:dyDescent="0.35">
      <c r="A60">
        <v>300</v>
      </c>
      <c r="B60" t="str">
        <f>IF(Table1[[#This Row],[GRE Score]]&lt;=310,"300–310", IF(Table1[[#This Row],[GRE Score]]&lt;=320,"310–320", IF(Table1[[#This Row],[GRE Score]]&lt;=330,"320–330","330+")))</f>
        <v>300–310</v>
      </c>
      <c r="C60">
        <v>99</v>
      </c>
      <c r="D60">
        <v>1</v>
      </c>
      <c r="E60">
        <v>3</v>
      </c>
      <c r="F60">
        <v>2</v>
      </c>
      <c r="G60">
        <v>6.8</v>
      </c>
      <c r="H60" t="str">
        <f t="shared" si="0"/>
        <v>7.5–8.0</v>
      </c>
      <c r="I60">
        <v>1</v>
      </c>
      <c r="J60">
        <v>0.36</v>
      </c>
    </row>
    <row r="61" spans="1:10" x14ac:dyDescent="0.35">
      <c r="A61">
        <v>311</v>
      </c>
      <c r="B61" t="str">
        <f>IF(Table1[[#This Row],[GRE Score]]&lt;=310,"300–310", IF(Table1[[#This Row],[GRE Score]]&lt;=320,"310–320", IF(Table1[[#This Row],[GRE Score]]&lt;=330,"320–330","330+")))</f>
        <v>310–320</v>
      </c>
      <c r="C61">
        <v>104</v>
      </c>
      <c r="D61">
        <v>2</v>
      </c>
      <c r="E61">
        <v>2</v>
      </c>
      <c r="F61">
        <v>2</v>
      </c>
      <c r="G61">
        <v>8.3000000000000007</v>
      </c>
      <c r="H61" t="str">
        <f t="shared" si="0"/>
        <v>8.0–8.5</v>
      </c>
      <c r="I61">
        <v>0</v>
      </c>
      <c r="J61">
        <v>0.42</v>
      </c>
    </row>
    <row r="62" spans="1:10" x14ac:dyDescent="0.35">
      <c r="A62">
        <v>309</v>
      </c>
      <c r="B62" t="str">
        <f>IF(Table1[[#This Row],[GRE Score]]&lt;=310,"300–310", IF(Table1[[#This Row],[GRE Score]]&lt;=320,"310–320", IF(Table1[[#This Row],[GRE Score]]&lt;=330,"320–330","330+")))</f>
        <v>300–310</v>
      </c>
      <c r="C62">
        <v>100</v>
      </c>
      <c r="D62">
        <v>2</v>
      </c>
      <c r="E62">
        <v>3</v>
      </c>
      <c r="F62">
        <v>3</v>
      </c>
      <c r="G62">
        <v>8.1</v>
      </c>
      <c r="H62" t="str">
        <f t="shared" si="0"/>
        <v>8.0–8.5</v>
      </c>
      <c r="I62">
        <v>0</v>
      </c>
      <c r="J62">
        <v>0.48</v>
      </c>
    </row>
    <row r="63" spans="1:10" x14ac:dyDescent="0.35">
      <c r="A63">
        <v>307</v>
      </c>
      <c r="B63" t="str">
        <f>IF(Table1[[#This Row],[GRE Score]]&lt;=310,"300–310", IF(Table1[[#This Row],[GRE Score]]&lt;=320,"310–320", IF(Table1[[#This Row],[GRE Score]]&lt;=330,"320–330","330+")))</f>
        <v>300–310</v>
      </c>
      <c r="C63">
        <v>101</v>
      </c>
      <c r="D63">
        <v>3</v>
      </c>
      <c r="E63">
        <v>4</v>
      </c>
      <c r="F63">
        <v>3</v>
      </c>
      <c r="G63">
        <v>8.1999999999999993</v>
      </c>
      <c r="H63" t="str">
        <f t="shared" si="0"/>
        <v>8.0–8.5</v>
      </c>
      <c r="I63">
        <v>0</v>
      </c>
      <c r="J63">
        <v>0.47</v>
      </c>
    </row>
    <row r="64" spans="1:10" x14ac:dyDescent="0.35">
      <c r="A64">
        <v>304</v>
      </c>
      <c r="B64" t="str">
        <f>IF(Table1[[#This Row],[GRE Score]]&lt;=310,"300–310", IF(Table1[[#This Row],[GRE Score]]&lt;=320,"310–320", IF(Table1[[#This Row],[GRE Score]]&lt;=330,"320–330","330+")))</f>
        <v>300–310</v>
      </c>
      <c r="C64">
        <v>105</v>
      </c>
      <c r="D64">
        <v>2</v>
      </c>
      <c r="E64">
        <v>3</v>
      </c>
      <c r="F64">
        <v>3</v>
      </c>
      <c r="G64">
        <v>8.1999999999999993</v>
      </c>
      <c r="H64" t="str">
        <f t="shared" si="0"/>
        <v>8.0–8.5</v>
      </c>
      <c r="I64">
        <v>1</v>
      </c>
      <c r="J64">
        <v>0.54</v>
      </c>
    </row>
    <row r="65" spans="1:10" x14ac:dyDescent="0.35">
      <c r="A65">
        <v>315</v>
      </c>
      <c r="B65" t="str">
        <f>IF(Table1[[#This Row],[GRE Score]]&lt;=310,"300–310", IF(Table1[[#This Row],[GRE Score]]&lt;=320,"310–320", IF(Table1[[#This Row],[GRE Score]]&lt;=330,"320–330","330+")))</f>
        <v>310–320</v>
      </c>
      <c r="C65">
        <v>107</v>
      </c>
      <c r="D65">
        <v>2</v>
      </c>
      <c r="E65">
        <v>4</v>
      </c>
      <c r="F65">
        <v>3</v>
      </c>
      <c r="G65">
        <v>8.5</v>
      </c>
      <c r="H65" t="str">
        <f t="shared" si="0"/>
        <v>8.5–9.0</v>
      </c>
      <c r="I65">
        <v>1</v>
      </c>
      <c r="J65">
        <v>0.56000000000000005</v>
      </c>
    </row>
    <row r="66" spans="1:10" x14ac:dyDescent="0.35">
      <c r="A66">
        <v>325</v>
      </c>
      <c r="B66" t="str">
        <f>IF(Table1[[#This Row],[GRE Score]]&lt;=310,"300–310", IF(Table1[[#This Row],[GRE Score]]&lt;=320,"310–320", IF(Table1[[#This Row],[GRE Score]]&lt;=330,"320–330","330+")))</f>
        <v>320–330</v>
      </c>
      <c r="C66">
        <v>111</v>
      </c>
      <c r="D66">
        <v>3</v>
      </c>
      <c r="E66">
        <v>3</v>
      </c>
      <c r="F66">
        <v>3.5</v>
      </c>
      <c r="G66">
        <v>8.6999999999999993</v>
      </c>
      <c r="H66" t="str">
        <f t="shared" ref="H66:H129" si="1">IF(G66&lt;8,"7.5–8.0",
IF(G66&lt;8.5,"8.0–8.5",
IF(G66&lt;9,"8.5–9.0","9.0+")))</f>
        <v>8.5–9.0</v>
      </c>
      <c r="I66">
        <v>0</v>
      </c>
      <c r="J66">
        <v>0.52</v>
      </c>
    </row>
    <row r="67" spans="1:10" x14ac:dyDescent="0.35">
      <c r="A67">
        <v>325</v>
      </c>
      <c r="B67" t="str">
        <f>IF(Table1[[#This Row],[GRE Score]]&lt;=310,"300–310", IF(Table1[[#This Row],[GRE Score]]&lt;=320,"310–320", IF(Table1[[#This Row],[GRE Score]]&lt;=330,"320–330","330+")))</f>
        <v>320–330</v>
      </c>
      <c r="C67">
        <v>112</v>
      </c>
      <c r="D67">
        <v>4</v>
      </c>
      <c r="E67">
        <v>3.5</v>
      </c>
      <c r="F67">
        <v>3.5</v>
      </c>
      <c r="G67">
        <v>8.92</v>
      </c>
      <c r="H67" t="str">
        <f t="shared" si="1"/>
        <v>8.5–9.0</v>
      </c>
      <c r="I67">
        <v>0</v>
      </c>
      <c r="J67">
        <v>0.55000000000000004</v>
      </c>
    </row>
    <row r="68" spans="1:10" x14ac:dyDescent="0.35">
      <c r="A68">
        <v>327</v>
      </c>
      <c r="B68" t="str">
        <f>IF(Table1[[#This Row],[GRE Score]]&lt;=310,"300–310", IF(Table1[[#This Row],[GRE Score]]&lt;=320,"310–320", IF(Table1[[#This Row],[GRE Score]]&lt;=330,"320–330","330+")))</f>
        <v>320–330</v>
      </c>
      <c r="C68">
        <v>114</v>
      </c>
      <c r="D68">
        <v>3</v>
      </c>
      <c r="E68">
        <v>3</v>
      </c>
      <c r="F68">
        <v>3</v>
      </c>
      <c r="G68">
        <v>9.02</v>
      </c>
      <c r="H68" t="str">
        <f t="shared" si="1"/>
        <v>9.0+</v>
      </c>
      <c r="I68">
        <v>0</v>
      </c>
      <c r="J68">
        <v>0.61</v>
      </c>
    </row>
    <row r="69" spans="1:10" x14ac:dyDescent="0.35">
      <c r="A69">
        <v>316</v>
      </c>
      <c r="B69" t="str">
        <f>IF(Table1[[#This Row],[GRE Score]]&lt;=310,"300–310", IF(Table1[[#This Row],[GRE Score]]&lt;=320,"310–320", IF(Table1[[#This Row],[GRE Score]]&lt;=330,"320–330","330+")))</f>
        <v>310–320</v>
      </c>
      <c r="C69">
        <v>107</v>
      </c>
      <c r="D69">
        <v>2</v>
      </c>
      <c r="E69">
        <v>3.5</v>
      </c>
      <c r="F69">
        <v>3.5</v>
      </c>
      <c r="G69">
        <v>8.64</v>
      </c>
      <c r="H69" t="str">
        <f t="shared" si="1"/>
        <v>8.5–9.0</v>
      </c>
      <c r="I69">
        <v>1</v>
      </c>
      <c r="J69">
        <v>0.56999999999999995</v>
      </c>
    </row>
    <row r="70" spans="1:10" x14ac:dyDescent="0.35">
      <c r="A70">
        <v>318</v>
      </c>
      <c r="B70" t="str">
        <f>IF(Table1[[#This Row],[GRE Score]]&lt;=310,"300–310", IF(Table1[[#This Row],[GRE Score]]&lt;=320,"310–320", IF(Table1[[#This Row],[GRE Score]]&lt;=330,"320–330","330+")))</f>
        <v>310–320</v>
      </c>
      <c r="C70">
        <v>109</v>
      </c>
      <c r="D70">
        <v>3</v>
      </c>
      <c r="E70">
        <v>3.5</v>
      </c>
      <c r="F70">
        <v>4</v>
      </c>
      <c r="G70">
        <v>9.2200000000000006</v>
      </c>
      <c r="H70" t="str">
        <f t="shared" si="1"/>
        <v>9.0+</v>
      </c>
      <c r="I70">
        <v>1</v>
      </c>
      <c r="J70">
        <v>0.68</v>
      </c>
    </row>
    <row r="71" spans="1:10" x14ac:dyDescent="0.35">
      <c r="A71">
        <v>328</v>
      </c>
      <c r="B71" t="str">
        <f>IF(Table1[[#This Row],[GRE Score]]&lt;=310,"300–310", IF(Table1[[#This Row],[GRE Score]]&lt;=320,"310–320", IF(Table1[[#This Row],[GRE Score]]&lt;=330,"320–330","330+")))</f>
        <v>320–330</v>
      </c>
      <c r="C71">
        <v>115</v>
      </c>
      <c r="D71">
        <v>4</v>
      </c>
      <c r="E71">
        <v>4.5</v>
      </c>
      <c r="F71">
        <v>4</v>
      </c>
      <c r="G71">
        <v>9.16</v>
      </c>
      <c r="H71" t="str">
        <f t="shared" si="1"/>
        <v>9.0+</v>
      </c>
      <c r="I71">
        <v>1</v>
      </c>
      <c r="J71">
        <v>0.78</v>
      </c>
    </row>
    <row r="72" spans="1:10" x14ac:dyDescent="0.35">
      <c r="A72">
        <v>332</v>
      </c>
      <c r="B72" t="str">
        <f>IF(Table1[[#This Row],[GRE Score]]&lt;=310,"300–310", IF(Table1[[#This Row],[GRE Score]]&lt;=320,"310–320", IF(Table1[[#This Row],[GRE Score]]&lt;=330,"320–330","330+")))</f>
        <v>330+</v>
      </c>
      <c r="C72">
        <v>118</v>
      </c>
      <c r="D72">
        <v>5</v>
      </c>
      <c r="E72">
        <v>5</v>
      </c>
      <c r="F72">
        <v>5</v>
      </c>
      <c r="G72">
        <v>9.64</v>
      </c>
      <c r="H72" t="str">
        <f t="shared" si="1"/>
        <v>9.0+</v>
      </c>
      <c r="I72">
        <v>1</v>
      </c>
      <c r="J72">
        <v>0.94</v>
      </c>
    </row>
    <row r="73" spans="1:10" x14ac:dyDescent="0.35">
      <c r="A73">
        <v>336</v>
      </c>
      <c r="B73" t="str">
        <f>IF(Table1[[#This Row],[GRE Score]]&lt;=310,"300–310", IF(Table1[[#This Row],[GRE Score]]&lt;=320,"310–320", IF(Table1[[#This Row],[GRE Score]]&lt;=330,"320–330","330+")))</f>
        <v>330+</v>
      </c>
      <c r="C73">
        <v>112</v>
      </c>
      <c r="D73">
        <v>5</v>
      </c>
      <c r="E73">
        <v>5</v>
      </c>
      <c r="F73">
        <v>5</v>
      </c>
      <c r="G73">
        <v>9.76</v>
      </c>
      <c r="H73" t="str">
        <f t="shared" si="1"/>
        <v>9.0+</v>
      </c>
      <c r="I73">
        <v>1</v>
      </c>
      <c r="J73">
        <v>0.96</v>
      </c>
    </row>
    <row r="74" spans="1:10" x14ac:dyDescent="0.35">
      <c r="A74">
        <v>321</v>
      </c>
      <c r="B74" t="str">
        <f>IF(Table1[[#This Row],[GRE Score]]&lt;=310,"300–310", IF(Table1[[#This Row],[GRE Score]]&lt;=320,"310–320", IF(Table1[[#This Row],[GRE Score]]&lt;=330,"320–330","330+")))</f>
        <v>320–330</v>
      </c>
      <c r="C74">
        <v>111</v>
      </c>
      <c r="D74">
        <v>5</v>
      </c>
      <c r="E74">
        <v>5</v>
      </c>
      <c r="F74">
        <v>5</v>
      </c>
      <c r="G74">
        <v>9.4499999999999993</v>
      </c>
      <c r="H74" t="str">
        <f t="shared" si="1"/>
        <v>9.0+</v>
      </c>
      <c r="I74">
        <v>1</v>
      </c>
      <c r="J74">
        <v>0.93</v>
      </c>
    </row>
    <row r="75" spans="1:10" x14ac:dyDescent="0.35">
      <c r="A75">
        <v>314</v>
      </c>
      <c r="B75" t="str">
        <f>IF(Table1[[#This Row],[GRE Score]]&lt;=310,"300–310", IF(Table1[[#This Row],[GRE Score]]&lt;=320,"310–320", IF(Table1[[#This Row],[GRE Score]]&lt;=330,"320–330","330+")))</f>
        <v>310–320</v>
      </c>
      <c r="C75">
        <v>108</v>
      </c>
      <c r="D75">
        <v>4</v>
      </c>
      <c r="E75">
        <v>4.5</v>
      </c>
      <c r="F75">
        <v>4</v>
      </c>
      <c r="G75">
        <v>9.0399999999999991</v>
      </c>
      <c r="H75" t="str">
        <f t="shared" si="1"/>
        <v>9.0+</v>
      </c>
      <c r="I75">
        <v>1</v>
      </c>
      <c r="J75">
        <v>0.84</v>
      </c>
    </row>
    <row r="76" spans="1:10" x14ac:dyDescent="0.35">
      <c r="A76">
        <v>314</v>
      </c>
      <c r="B76" t="str">
        <f>IF(Table1[[#This Row],[GRE Score]]&lt;=310,"300–310", IF(Table1[[#This Row],[GRE Score]]&lt;=320,"310–320", IF(Table1[[#This Row],[GRE Score]]&lt;=330,"320–330","330+")))</f>
        <v>310–320</v>
      </c>
      <c r="C76">
        <v>106</v>
      </c>
      <c r="D76">
        <v>3</v>
      </c>
      <c r="E76">
        <v>3</v>
      </c>
      <c r="F76">
        <v>5</v>
      </c>
      <c r="G76">
        <v>8.9</v>
      </c>
      <c r="H76" t="str">
        <f t="shared" si="1"/>
        <v>8.5–9.0</v>
      </c>
      <c r="I76">
        <v>0</v>
      </c>
      <c r="J76">
        <v>0.74</v>
      </c>
    </row>
    <row r="77" spans="1:10" x14ac:dyDescent="0.35">
      <c r="A77">
        <v>329</v>
      </c>
      <c r="B77" t="str">
        <f>IF(Table1[[#This Row],[GRE Score]]&lt;=310,"300–310", IF(Table1[[#This Row],[GRE Score]]&lt;=320,"310–320", IF(Table1[[#This Row],[GRE Score]]&lt;=330,"320–330","330+")))</f>
        <v>320–330</v>
      </c>
      <c r="C77">
        <v>114</v>
      </c>
      <c r="D77">
        <v>2</v>
      </c>
      <c r="E77">
        <v>2</v>
      </c>
      <c r="F77">
        <v>4</v>
      </c>
      <c r="G77">
        <v>8.56</v>
      </c>
      <c r="H77" t="str">
        <f t="shared" si="1"/>
        <v>8.5–9.0</v>
      </c>
      <c r="I77">
        <v>1</v>
      </c>
      <c r="J77">
        <v>0.72</v>
      </c>
    </row>
    <row r="78" spans="1:10" x14ac:dyDescent="0.35">
      <c r="A78">
        <v>327</v>
      </c>
      <c r="B78" t="str">
        <f>IF(Table1[[#This Row],[GRE Score]]&lt;=310,"300–310", IF(Table1[[#This Row],[GRE Score]]&lt;=320,"310–320", IF(Table1[[#This Row],[GRE Score]]&lt;=330,"320–330","330+")))</f>
        <v>320–330</v>
      </c>
      <c r="C78">
        <v>112</v>
      </c>
      <c r="D78">
        <v>3</v>
      </c>
      <c r="E78">
        <v>3</v>
      </c>
      <c r="F78">
        <v>3</v>
      </c>
      <c r="G78">
        <v>8.7200000000000006</v>
      </c>
      <c r="H78" t="str">
        <f t="shared" si="1"/>
        <v>8.5–9.0</v>
      </c>
      <c r="I78">
        <v>1</v>
      </c>
      <c r="J78">
        <v>0.74</v>
      </c>
    </row>
    <row r="79" spans="1:10" x14ac:dyDescent="0.35">
      <c r="A79">
        <v>301</v>
      </c>
      <c r="B79" t="str">
        <f>IF(Table1[[#This Row],[GRE Score]]&lt;=310,"300–310", IF(Table1[[#This Row],[GRE Score]]&lt;=320,"310–320", IF(Table1[[#This Row],[GRE Score]]&lt;=330,"320–330","330+")))</f>
        <v>300–310</v>
      </c>
      <c r="C79">
        <v>99</v>
      </c>
      <c r="D79">
        <v>2</v>
      </c>
      <c r="E79">
        <v>3</v>
      </c>
      <c r="F79">
        <v>2</v>
      </c>
      <c r="G79">
        <v>8.2200000000000006</v>
      </c>
      <c r="H79" t="str">
        <f t="shared" si="1"/>
        <v>8.0–8.5</v>
      </c>
      <c r="I79">
        <v>0</v>
      </c>
      <c r="J79">
        <v>0.64</v>
      </c>
    </row>
    <row r="80" spans="1:10" x14ac:dyDescent="0.35">
      <c r="A80">
        <v>296</v>
      </c>
      <c r="B80" t="str">
        <f>IF(Table1[[#This Row],[GRE Score]]&lt;=310,"300–310", IF(Table1[[#This Row],[GRE Score]]&lt;=320,"310–320", IF(Table1[[#This Row],[GRE Score]]&lt;=330,"320–330","330+")))</f>
        <v>300–310</v>
      </c>
      <c r="C80">
        <v>95</v>
      </c>
      <c r="D80">
        <v>2</v>
      </c>
      <c r="E80">
        <v>3</v>
      </c>
      <c r="F80">
        <v>2</v>
      </c>
      <c r="G80">
        <v>7.54</v>
      </c>
      <c r="H80" t="str">
        <f t="shared" si="1"/>
        <v>7.5–8.0</v>
      </c>
      <c r="I80">
        <v>1</v>
      </c>
      <c r="J80">
        <v>0.44</v>
      </c>
    </row>
    <row r="81" spans="1:10" x14ac:dyDescent="0.35">
      <c r="A81">
        <v>294</v>
      </c>
      <c r="B81" t="str">
        <f>IF(Table1[[#This Row],[GRE Score]]&lt;=310,"300–310", IF(Table1[[#This Row],[GRE Score]]&lt;=320,"310–320", IF(Table1[[#This Row],[GRE Score]]&lt;=330,"320–330","330+")))</f>
        <v>300–310</v>
      </c>
      <c r="C81">
        <v>93</v>
      </c>
      <c r="D81">
        <v>1</v>
      </c>
      <c r="E81">
        <v>1.5</v>
      </c>
      <c r="F81">
        <v>2</v>
      </c>
      <c r="G81">
        <v>7.36</v>
      </c>
      <c r="H81" t="str">
        <f t="shared" si="1"/>
        <v>7.5–8.0</v>
      </c>
      <c r="I81">
        <v>0</v>
      </c>
      <c r="J81">
        <v>0.46</v>
      </c>
    </row>
    <row r="82" spans="1:10" x14ac:dyDescent="0.35">
      <c r="A82">
        <v>312</v>
      </c>
      <c r="B82" t="str">
        <f>IF(Table1[[#This Row],[GRE Score]]&lt;=310,"300–310", IF(Table1[[#This Row],[GRE Score]]&lt;=320,"310–320", IF(Table1[[#This Row],[GRE Score]]&lt;=330,"320–330","330+")))</f>
        <v>310–320</v>
      </c>
      <c r="C82">
        <v>105</v>
      </c>
      <c r="D82">
        <v>3</v>
      </c>
      <c r="E82">
        <v>2</v>
      </c>
      <c r="F82">
        <v>3</v>
      </c>
      <c r="G82">
        <v>8.02</v>
      </c>
      <c r="H82" t="str">
        <f t="shared" si="1"/>
        <v>8.0–8.5</v>
      </c>
      <c r="I82">
        <v>1</v>
      </c>
      <c r="J82">
        <v>0.5</v>
      </c>
    </row>
    <row r="83" spans="1:10" x14ac:dyDescent="0.35">
      <c r="A83">
        <v>340</v>
      </c>
      <c r="B83" t="str">
        <f>IF(Table1[[#This Row],[GRE Score]]&lt;=310,"300–310", IF(Table1[[#This Row],[GRE Score]]&lt;=320,"310–320", IF(Table1[[#This Row],[GRE Score]]&lt;=330,"320–330","330+")))</f>
        <v>330+</v>
      </c>
      <c r="C83">
        <v>120</v>
      </c>
      <c r="D83">
        <v>4</v>
      </c>
      <c r="E83">
        <v>5</v>
      </c>
      <c r="F83">
        <v>5</v>
      </c>
      <c r="G83">
        <v>9.5</v>
      </c>
      <c r="H83" t="str">
        <f t="shared" si="1"/>
        <v>9.0+</v>
      </c>
      <c r="I83">
        <v>1</v>
      </c>
      <c r="J83">
        <v>0.96</v>
      </c>
    </row>
    <row r="84" spans="1:10" x14ac:dyDescent="0.35">
      <c r="A84">
        <v>320</v>
      </c>
      <c r="B84" t="str">
        <f>IF(Table1[[#This Row],[GRE Score]]&lt;=310,"300–310", IF(Table1[[#This Row],[GRE Score]]&lt;=320,"310–320", IF(Table1[[#This Row],[GRE Score]]&lt;=330,"320–330","330+")))</f>
        <v>310–320</v>
      </c>
      <c r="C84">
        <v>110</v>
      </c>
      <c r="D84">
        <v>5</v>
      </c>
      <c r="E84">
        <v>5</v>
      </c>
      <c r="F84">
        <v>4.5</v>
      </c>
      <c r="G84">
        <v>9.2200000000000006</v>
      </c>
      <c r="H84" t="str">
        <f t="shared" si="1"/>
        <v>9.0+</v>
      </c>
      <c r="I84">
        <v>1</v>
      </c>
      <c r="J84">
        <v>0.92</v>
      </c>
    </row>
    <row r="85" spans="1:10" x14ac:dyDescent="0.35">
      <c r="A85">
        <v>322</v>
      </c>
      <c r="B85" t="str">
        <f>IF(Table1[[#This Row],[GRE Score]]&lt;=310,"300–310", IF(Table1[[#This Row],[GRE Score]]&lt;=320,"310–320", IF(Table1[[#This Row],[GRE Score]]&lt;=330,"320–330","330+")))</f>
        <v>320–330</v>
      </c>
      <c r="C85">
        <v>115</v>
      </c>
      <c r="D85">
        <v>5</v>
      </c>
      <c r="E85">
        <v>4</v>
      </c>
      <c r="F85">
        <v>4.5</v>
      </c>
      <c r="G85">
        <v>9.36</v>
      </c>
      <c r="H85" t="str">
        <f t="shared" si="1"/>
        <v>9.0+</v>
      </c>
      <c r="I85">
        <v>1</v>
      </c>
      <c r="J85">
        <v>0.92</v>
      </c>
    </row>
    <row r="86" spans="1:10" x14ac:dyDescent="0.35">
      <c r="A86">
        <v>340</v>
      </c>
      <c r="B86" t="str">
        <f>IF(Table1[[#This Row],[GRE Score]]&lt;=310,"300–310", IF(Table1[[#This Row],[GRE Score]]&lt;=320,"310–320", IF(Table1[[#This Row],[GRE Score]]&lt;=330,"320–330","330+")))</f>
        <v>330+</v>
      </c>
      <c r="C86">
        <v>115</v>
      </c>
      <c r="D86">
        <v>5</v>
      </c>
      <c r="E86">
        <v>4.5</v>
      </c>
      <c r="F86">
        <v>4.5</v>
      </c>
      <c r="G86">
        <v>9.4499999999999993</v>
      </c>
      <c r="H86" t="str">
        <f t="shared" si="1"/>
        <v>9.0+</v>
      </c>
      <c r="I86">
        <v>1</v>
      </c>
      <c r="J86">
        <v>0.94</v>
      </c>
    </row>
    <row r="87" spans="1:10" x14ac:dyDescent="0.35">
      <c r="A87">
        <v>319</v>
      </c>
      <c r="B87" t="str">
        <f>IF(Table1[[#This Row],[GRE Score]]&lt;=310,"300–310", IF(Table1[[#This Row],[GRE Score]]&lt;=320,"310–320", IF(Table1[[#This Row],[GRE Score]]&lt;=330,"320–330","330+")))</f>
        <v>310–320</v>
      </c>
      <c r="C87">
        <v>103</v>
      </c>
      <c r="D87">
        <v>4</v>
      </c>
      <c r="E87">
        <v>4.5</v>
      </c>
      <c r="F87">
        <v>3.5</v>
      </c>
      <c r="G87">
        <v>8.66</v>
      </c>
      <c r="H87" t="str">
        <f t="shared" si="1"/>
        <v>8.5–9.0</v>
      </c>
      <c r="I87">
        <v>0</v>
      </c>
      <c r="J87">
        <v>0.76</v>
      </c>
    </row>
    <row r="88" spans="1:10" x14ac:dyDescent="0.35">
      <c r="A88">
        <v>315</v>
      </c>
      <c r="B88" t="str">
        <f>IF(Table1[[#This Row],[GRE Score]]&lt;=310,"300–310", IF(Table1[[#This Row],[GRE Score]]&lt;=320,"310–320", IF(Table1[[#This Row],[GRE Score]]&lt;=330,"320–330","330+")))</f>
        <v>310–320</v>
      </c>
      <c r="C88">
        <v>106</v>
      </c>
      <c r="D88">
        <v>3</v>
      </c>
      <c r="E88">
        <v>4.5</v>
      </c>
      <c r="F88">
        <v>3.5</v>
      </c>
      <c r="G88">
        <v>8.42</v>
      </c>
      <c r="H88" t="str">
        <f t="shared" si="1"/>
        <v>8.0–8.5</v>
      </c>
      <c r="I88">
        <v>0</v>
      </c>
      <c r="J88">
        <v>0.72</v>
      </c>
    </row>
    <row r="89" spans="1:10" x14ac:dyDescent="0.35">
      <c r="A89">
        <v>317</v>
      </c>
      <c r="B89" t="str">
        <f>IF(Table1[[#This Row],[GRE Score]]&lt;=310,"300–310", IF(Table1[[#This Row],[GRE Score]]&lt;=320,"310–320", IF(Table1[[#This Row],[GRE Score]]&lt;=330,"320–330","330+")))</f>
        <v>310–320</v>
      </c>
      <c r="C89">
        <v>107</v>
      </c>
      <c r="D89">
        <v>2</v>
      </c>
      <c r="E89">
        <v>3.5</v>
      </c>
      <c r="F89">
        <v>3</v>
      </c>
      <c r="G89">
        <v>8.2799999999999994</v>
      </c>
      <c r="H89" t="str">
        <f t="shared" si="1"/>
        <v>8.0–8.5</v>
      </c>
      <c r="I89">
        <v>0</v>
      </c>
      <c r="J89">
        <v>0.66</v>
      </c>
    </row>
    <row r="90" spans="1:10" x14ac:dyDescent="0.35">
      <c r="A90">
        <v>314</v>
      </c>
      <c r="B90" t="str">
        <f>IF(Table1[[#This Row],[GRE Score]]&lt;=310,"300–310", IF(Table1[[#This Row],[GRE Score]]&lt;=320,"310–320", IF(Table1[[#This Row],[GRE Score]]&lt;=330,"320–330","330+")))</f>
        <v>310–320</v>
      </c>
      <c r="C90">
        <v>108</v>
      </c>
      <c r="D90">
        <v>3</v>
      </c>
      <c r="E90">
        <v>4.5</v>
      </c>
      <c r="F90">
        <v>3.5</v>
      </c>
      <c r="G90">
        <v>8.14</v>
      </c>
      <c r="H90" t="str">
        <f t="shared" si="1"/>
        <v>8.0–8.5</v>
      </c>
      <c r="I90">
        <v>0</v>
      </c>
      <c r="J90">
        <v>0.64</v>
      </c>
    </row>
    <row r="91" spans="1:10" x14ac:dyDescent="0.35">
      <c r="A91">
        <v>316</v>
      </c>
      <c r="B91" t="str">
        <f>IF(Table1[[#This Row],[GRE Score]]&lt;=310,"300–310", IF(Table1[[#This Row],[GRE Score]]&lt;=320,"310–320", IF(Table1[[#This Row],[GRE Score]]&lt;=330,"320–330","330+")))</f>
        <v>310–320</v>
      </c>
      <c r="C91">
        <v>109</v>
      </c>
      <c r="D91">
        <v>4</v>
      </c>
      <c r="E91">
        <v>4.5</v>
      </c>
      <c r="F91">
        <v>3.5</v>
      </c>
      <c r="G91">
        <v>8.76</v>
      </c>
      <c r="H91" t="str">
        <f t="shared" si="1"/>
        <v>8.5–9.0</v>
      </c>
      <c r="I91">
        <v>1</v>
      </c>
      <c r="J91">
        <v>0.74</v>
      </c>
    </row>
    <row r="92" spans="1:10" x14ac:dyDescent="0.35">
      <c r="A92">
        <v>318</v>
      </c>
      <c r="B92" t="str">
        <f>IF(Table1[[#This Row],[GRE Score]]&lt;=310,"300–310", IF(Table1[[#This Row],[GRE Score]]&lt;=320,"310–320", IF(Table1[[#This Row],[GRE Score]]&lt;=330,"320–330","330+")))</f>
        <v>310–320</v>
      </c>
      <c r="C92">
        <v>106</v>
      </c>
      <c r="D92">
        <v>2</v>
      </c>
      <c r="E92">
        <v>4</v>
      </c>
      <c r="F92">
        <v>4</v>
      </c>
      <c r="G92">
        <v>7.92</v>
      </c>
      <c r="H92" t="str">
        <f t="shared" si="1"/>
        <v>7.5–8.0</v>
      </c>
      <c r="I92">
        <v>1</v>
      </c>
      <c r="J92">
        <v>0.64</v>
      </c>
    </row>
    <row r="93" spans="1:10" x14ac:dyDescent="0.35">
      <c r="A93">
        <v>299</v>
      </c>
      <c r="B93" t="str">
        <f>IF(Table1[[#This Row],[GRE Score]]&lt;=310,"300–310", IF(Table1[[#This Row],[GRE Score]]&lt;=320,"310–320", IF(Table1[[#This Row],[GRE Score]]&lt;=330,"320–330","330+")))</f>
        <v>300–310</v>
      </c>
      <c r="C93">
        <v>97</v>
      </c>
      <c r="D93">
        <v>3</v>
      </c>
      <c r="E93">
        <v>5</v>
      </c>
      <c r="F93">
        <v>3.5</v>
      </c>
      <c r="G93">
        <v>7.66</v>
      </c>
      <c r="H93" t="str">
        <f t="shared" si="1"/>
        <v>7.5–8.0</v>
      </c>
      <c r="I93">
        <v>0</v>
      </c>
      <c r="J93">
        <v>0.38</v>
      </c>
    </row>
    <row r="94" spans="1:10" x14ac:dyDescent="0.35">
      <c r="A94">
        <v>298</v>
      </c>
      <c r="B94" t="str">
        <f>IF(Table1[[#This Row],[GRE Score]]&lt;=310,"300–310", IF(Table1[[#This Row],[GRE Score]]&lt;=320,"310–320", IF(Table1[[#This Row],[GRE Score]]&lt;=330,"320–330","330+")))</f>
        <v>300–310</v>
      </c>
      <c r="C94">
        <v>98</v>
      </c>
      <c r="D94">
        <v>2</v>
      </c>
      <c r="E94">
        <v>4</v>
      </c>
      <c r="F94">
        <v>3</v>
      </c>
      <c r="G94">
        <v>8.0299999999999994</v>
      </c>
      <c r="H94" t="str">
        <f t="shared" si="1"/>
        <v>8.0–8.5</v>
      </c>
      <c r="I94">
        <v>0</v>
      </c>
      <c r="J94">
        <v>0.34</v>
      </c>
    </row>
    <row r="95" spans="1:10" x14ac:dyDescent="0.35">
      <c r="A95">
        <v>301</v>
      </c>
      <c r="B95" t="str">
        <f>IF(Table1[[#This Row],[GRE Score]]&lt;=310,"300–310", IF(Table1[[#This Row],[GRE Score]]&lt;=320,"310–320", IF(Table1[[#This Row],[GRE Score]]&lt;=330,"320–330","330+")))</f>
        <v>300–310</v>
      </c>
      <c r="C95">
        <v>97</v>
      </c>
      <c r="D95">
        <v>2</v>
      </c>
      <c r="E95">
        <v>3</v>
      </c>
      <c r="F95">
        <v>3</v>
      </c>
      <c r="G95">
        <v>7.88</v>
      </c>
      <c r="H95" t="str">
        <f t="shared" si="1"/>
        <v>7.5–8.0</v>
      </c>
      <c r="I95">
        <v>1</v>
      </c>
      <c r="J95">
        <v>0.44</v>
      </c>
    </row>
    <row r="96" spans="1:10" x14ac:dyDescent="0.35">
      <c r="A96">
        <v>303</v>
      </c>
      <c r="B96" t="str">
        <f>IF(Table1[[#This Row],[GRE Score]]&lt;=310,"300–310", IF(Table1[[#This Row],[GRE Score]]&lt;=320,"310–320", IF(Table1[[#This Row],[GRE Score]]&lt;=330,"320–330","330+")))</f>
        <v>300–310</v>
      </c>
      <c r="C96">
        <v>99</v>
      </c>
      <c r="D96">
        <v>3</v>
      </c>
      <c r="E96">
        <v>2</v>
      </c>
      <c r="F96">
        <v>2.5</v>
      </c>
      <c r="G96">
        <v>7.66</v>
      </c>
      <c r="H96" t="str">
        <f t="shared" si="1"/>
        <v>7.5–8.0</v>
      </c>
      <c r="I96">
        <v>0</v>
      </c>
      <c r="J96">
        <v>0.36</v>
      </c>
    </row>
    <row r="97" spans="1:10" x14ac:dyDescent="0.35">
      <c r="A97">
        <v>304</v>
      </c>
      <c r="B97" t="str">
        <f>IF(Table1[[#This Row],[GRE Score]]&lt;=310,"300–310", IF(Table1[[#This Row],[GRE Score]]&lt;=320,"310–320", IF(Table1[[#This Row],[GRE Score]]&lt;=330,"320–330","330+")))</f>
        <v>300–310</v>
      </c>
      <c r="C97">
        <v>100</v>
      </c>
      <c r="D97">
        <v>4</v>
      </c>
      <c r="E97">
        <v>1.5</v>
      </c>
      <c r="F97">
        <v>2.5</v>
      </c>
      <c r="G97">
        <v>7.84</v>
      </c>
      <c r="H97" t="str">
        <f t="shared" si="1"/>
        <v>7.5–8.0</v>
      </c>
      <c r="I97">
        <v>0</v>
      </c>
      <c r="J97">
        <v>0.42</v>
      </c>
    </row>
    <row r="98" spans="1:10" x14ac:dyDescent="0.35">
      <c r="A98">
        <v>306</v>
      </c>
      <c r="B98" t="str">
        <f>IF(Table1[[#This Row],[GRE Score]]&lt;=310,"300–310", IF(Table1[[#This Row],[GRE Score]]&lt;=320,"310–320", IF(Table1[[#This Row],[GRE Score]]&lt;=330,"320–330","330+")))</f>
        <v>300–310</v>
      </c>
      <c r="C98">
        <v>100</v>
      </c>
      <c r="D98">
        <v>2</v>
      </c>
      <c r="E98">
        <v>3</v>
      </c>
      <c r="F98">
        <v>3</v>
      </c>
      <c r="G98">
        <v>8</v>
      </c>
      <c r="H98" t="str">
        <f t="shared" si="1"/>
        <v>8.0–8.5</v>
      </c>
      <c r="I98">
        <v>0</v>
      </c>
      <c r="J98">
        <v>0.48</v>
      </c>
    </row>
    <row r="99" spans="1:10" x14ac:dyDescent="0.35">
      <c r="A99">
        <v>331</v>
      </c>
      <c r="B99" t="str">
        <f>IF(Table1[[#This Row],[GRE Score]]&lt;=310,"300–310", IF(Table1[[#This Row],[GRE Score]]&lt;=320,"310–320", IF(Table1[[#This Row],[GRE Score]]&lt;=330,"320–330","330+")))</f>
        <v>330+</v>
      </c>
      <c r="C99">
        <v>120</v>
      </c>
      <c r="D99">
        <v>3</v>
      </c>
      <c r="E99">
        <v>4</v>
      </c>
      <c r="F99">
        <v>4</v>
      </c>
      <c r="G99">
        <v>8.9600000000000009</v>
      </c>
      <c r="H99" t="str">
        <f t="shared" si="1"/>
        <v>8.5–9.0</v>
      </c>
      <c r="I99">
        <v>1</v>
      </c>
      <c r="J99">
        <v>0.86</v>
      </c>
    </row>
    <row r="100" spans="1:10" x14ac:dyDescent="0.35">
      <c r="A100">
        <v>332</v>
      </c>
      <c r="B100" t="str">
        <f>IF(Table1[[#This Row],[GRE Score]]&lt;=310,"300–310", IF(Table1[[#This Row],[GRE Score]]&lt;=320,"310–320", IF(Table1[[#This Row],[GRE Score]]&lt;=330,"320–330","330+")))</f>
        <v>330+</v>
      </c>
      <c r="C100">
        <v>119</v>
      </c>
      <c r="D100">
        <v>4</v>
      </c>
      <c r="E100">
        <v>5</v>
      </c>
      <c r="F100">
        <v>4.5</v>
      </c>
      <c r="G100">
        <v>9.24</v>
      </c>
      <c r="H100" t="str">
        <f t="shared" si="1"/>
        <v>9.0+</v>
      </c>
      <c r="I100">
        <v>1</v>
      </c>
      <c r="J100">
        <v>0.9</v>
      </c>
    </row>
    <row r="101" spans="1:10" x14ac:dyDescent="0.35">
      <c r="A101">
        <v>323</v>
      </c>
      <c r="B101" t="str">
        <f>IF(Table1[[#This Row],[GRE Score]]&lt;=310,"300–310", IF(Table1[[#This Row],[GRE Score]]&lt;=320,"310–320", IF(Table1[[#This Row],[GRE Score]]&lt;=330,"320–330","330+")))</f>
        <v>320–330</v>
      </c>
      <c r="C101">
        <v>113</v>
      </c>
      <c r="D101">
        <v>3</v>
      </c>
      <c r="E101">
        <v>4</v>
      </c>
      <c r="F101">
        <v>4</v>
      </c>
      <c r="G101">
        <v>8.8800000000000008</v>
      </c>
      <c r="H101" t="str">
        <f t="shared" si="1"/>
        <v>8.5–9.0</v>
      </c>
      <c r="I101">
        <v>1</v>
      </c>
      <c r="J101">
        <v>0.79</v>
      </c>
    </row>
    <row r="102" spans="1:10" x14ac:dyDescent="0.35">
      <c r="A102">
        <v>322</v>
      </c>
      <c r="B102" t="str">
        <f>IF(Table1[[#This Row],[GRE Score]]&lt;=310,"300–310", IF(Table1[[#This Row],[GRE Score]]&lt;=320,"310–320", IF(Table1[[#This Row],[GRE Score]]&lt;=330,"320–330","330+")))</f>
        <v>320–330</v>
      </c>
      <c r="C102">
        <v>107</v>
      </c>
      <c r="D102">
        <v>3</v>
      </c>
      <c r="E102">
        <v>3.5</v>
      </c>
      <c r="F102">
        <v>3.5</v>
      </c>
      <c r="G102">
        <v>8.4600000000000009</v>
      </c>
      <c r="H102" t="str">
        <f t="shared" si="1"/>
        <v>8.0–8.5</v>
      </c>
      <c r="I102">
        <v>1</v>
      </c>
      <c r="J102">
        <v>0.71</v>
      </c>
    </row>
    <row r="103" spans="1:10" x14ac:dyDescent="0.35">
      <c r="A103">
        <v>312</v>
      </c>
      <c r="B103" t="str">
        <f>IF(Table1[[#This Row],[GRE Score]]&lt;=310,"300–310", IF(Table1[[#This Row],[GRE Score]]&lt;=320,"310–320", IF(Table1[[#This Row],[GRE Score]]&lt;=330,"320–330","330+")))</f>
        <v>310–320</v>
      </c>
      <c r="C103">
        <v>105</v>
      </c>
      <c r="D103">
        <v>2</v>
      </c>
      <c r="E103">
        <v>2.5</v>
      </c>
      <c r="F103">
        <v>3</v>
      </c>
      <c r="G103">
        <v>8.1199999999999992</v>
      </c>
      <c r="H103" t="str">
        <f t="shared" si="1"/>
        <v>8.0–8.5</v>
      </c>
      <c r="I103">
        <v>0</v>
      </c>
      <c r="J103">
        <v>0.64</v>
      </c>
    </row>
    <row r="104" spans="1:10" x14ac:dyDescent="0.35">
      <c r="A104">
        <v>314</v>
      </c>
      <c r="B104" t="str">
        <f>IF(Table1[[#This Row],[GRE Score]]&lt;=310,"300–310", IF(Table1[[#This Row],[GRE Score]]&lt;=320,"310–320", IF(Table1[[#This Row],[GRE Score]]&lt;=330,"320–330","330+")))</f>
        <v>310–320</v>
      </c>
      <c r="C104">
        <v>106</v>
      </c>
      <c r="D104">
        <v>2</v>
      </c>
      <c r="E104">
        <v>4</v>
      </c>
      <c r="F104">
        <v>3.5</v>
      </c>
      <c r="G104">
        <v>8.25</v>
      </c>
      <c r="H104" t="str">
        <f t="shared" si="1"/>
        <v>8.0–8.5</v>
      </c>
      <c r="I104">
        <v>0</v>
      </c>
      <c r="J104">
        <v>0.62</v>
      </c>
    </row>
    <row r="105" spans="1:10" x14ac:dyDescent="0.35">
      <c r="A105">
        <v>317</v>
      </c>
      <c r="B105" t="str">
        <f>IF(Table1[[#This Row],[GRE Score]]&lt;=310,"300–310", IF(Table1[[#This Row],[GRE Score]]&lt;=320,"310–320", IF(Table1[[#This Row],[GRE Score]]&lt;=330,"320–330","330+")))</f>
        <v>310–320</v>
      </c>
      <c r="C105">
        <v>104</v>
      </c>
      <c r="D105">
        <v>2</v>
      </c>
      <c r="E105">
        <v>4.5</v>
      </c>
      <c r="F105">
        <v>4</v>
      </c>
      <c r="G105">
        <v>8.4700000000000006</v>
      </c>
      <c r="H105" t="str">
        <f t="shared" si="1"/>
        <v>8.0–8.5</v>
      </c>
      <c r="I105">
        <v>0</v>
      </c>
      <c r="J105">
        <v>0.56999999999999995</v>
      </c>
    </row>
    <row r="106" spans="1:10" x14ac:dyDescent="0.35">
      <c r="A106">
        <v>326</v>
      </c>
      <c r="B106" t="str">
        <f>IF(Table1[[#This Row],[GRE Score]]&lt;=310,"300–310", IF(Table1[[#This Row],[GRE Score]]&lt;=320,"310–320", IF(Table1[[#This Row],[GRE Score]]&lt;=330,"320–330","330+")))</f>
        <v>320–330</v>
      </c>
      <c r="C106">
        <v>112</v>
      </c>
      <c r="D106">
        <v>3</v>
      </c>
      <c r="E106">
        <v>3.5</v>
      </c>
      <c r="F106">
        <v>3</v>
      </c>
      <c r="G106">
        <v>9.0500000000000007</v>
      </c>
      <c r="H106" t="str">
        <f t="shared" si="1"/>
        <v>9.0+</v>
      </c>
      <c r="I106">
        <v>1</v>
      </c>
      <c r="J106">
        <v>0.74</v>
      </c>
    </row>
    <row r="107" spans="1:10" x14ac:dyDescent="0.35">
      <c r="A107">
        <v>316</v>
      </c>
      <c r="B107" t="str">
        <f>IF(Table1[[#This Row],[GRE Score]]&lt;=310,"300–310", IF(Table1[[#This Row],[GRE Score]]&lt;=320,"310–320", IF(Table1[[#This Row],[GRE Score]]&lt;=330,"320–330","330+")))</f>
        <v>310–320</v>
      </c>
      <c r="C107">
        <v>110</v>
      </c>
      <c r="D107">
        <v>3</v>
      </c>
      <c r="E107">
        <v>4</v>
      </c>
      <c r="F107">
        <v>4.5</v>
      </c>
      <c r="G107">
        <v>8.7799999999999994</v>
      </c>
      <c r="H107" t="str">
        <f t="shared" si="1"/>
        <v>8.5–9.0</v>
      </c>
      <c r="I107">
        <v>1</v>
      </c>
      <c r="J107">
        <v>0.69</v>
      </c>
    </row>
    <row r="108" spans="1:10" x14ac:dyDescent="0.35">
      <c r="A108">
        <v>329</v>
      </c>
      <c r="B108" t="str">
        <f>IF(Table1[[#This Row],[GRE Score]]&lt;=310,"300–310", IF(Table1[[#This Row],[GRE Score]]&lt;=320,"310–320", IF(Table1[[#This Row],[GRE Score]]&lt;=330,"320–330","330+")))</f>
        <v>320–330</v>
      </c>
      <c r="C108">
        <v>111</v>
      </c>
      <c r="D108">
        <v>4</v>
      </c>
      <c r="E108">
        <v>4.5</v>
      </c>
      <c r="F108">
        <v>4.5</v>
      </c>
      <c r="G108">
        <v>9.18</v>
      </c>
      <c r="H108" t="str">
        <f t="shared" si="1"/>
        <v>9.0+</v>
      </c>
      <c r="I108">
        <v>1</v>
      </c>
      <c r="J108">
        <v>0.87</v>
      </c>
    </row>
    <row r="109" spans="1:10" x14ac:dyDescent="0.35">
      <c r="A109">
        <v>338</v>
      </c>
      <c r="B109" t="str">
        <f>IF(Table1[[#This Row],[GRE Score]]&lt;=310,"300–310", IF(Table1[[#This Row],[GRE Score]]&lt;=320,"310–320", IF(Table1[[#This Row],[GRE Score]]&lt;=330,"320–330","330+")))</f>
        <v>330+</v>
      </c>
      <c r="C109">
        <v>117</v>
      </c>
      <c r="D109">
        <v>4</v>
      </c>
      <c r="E109">
        <v>3.5</v>
      </c>
      <c r="F109">
        <v>4.5</v>
      </c>
      <c r="G109">
        <v>9.4600000000000009</v>
      </c>
      <c r="H109" t="str">
        <f t="shared" si="1"/>
        <v>9.0+</v>
      </c>
      <c r="I109">
        <v>1</v>
      </c>
      <c r="J109">
        <v>0.91</v>
      </c>
    </row>
    <row r="110" spans="1:10" x14ac:dyDescent="0.35">
      <c r="A110">
        <v>331</v>
      </c>
      <c r="B110" t="str">
        <f>IF(Table1[[#This Row],[GRE Score]]&lt;=310,"300–310", IF(Table1[[#This Row],[GRE Score]]&lt;=320,"310–320", IF(Table1[[#This Row],[GRE Score]]&lt;=330,"320–330","330+")))</f>
        <v>330+</v>
      </c>
      <c r="C110">
        <v>116</v>
      </c>
      <c r="D110">
        <v>5</v>
      </c>
      <c r="E110">
        <v>5</v>
      </c>
      <c r="F110">
        <v>5</v>
      </c>
      <c r="G110">
        <v>9.3800000000000008</v>
      </c>
      <c r="H110" t="str">
        <f t="shared" si="1"/>
        <v>9.0+</v>
      </c>
      <c r="I110">
        <v>1</v>
      </c>
      <c r="J110">
        <v>0.93</v>
      </c>
    </row>
    <row r="111" spans="1:10" x14ac:dyDescent="0.35">
      <c r="A111">
        <v>304</v>
      </c>
      <c r="B111" t="str">
        <f>IF(Table1[[#This Row],[GRE Score]]&lt;=310,"300–310", IF(Table1[[#This Row],[GRE Score]]&lt;=320,"310–320", IF(Table1[[#This Row],[GRE Score]]&lt;=330,"320–330","330+")))</f>
        <v>300–310</v>
      </c>
      <c r="C111">
        <v>103</v>
      </c>
      <c r="D111">
        <v>5</v>
      </c>
      <c r="E111">
        <v>5</v>
      </c>
      <c r="F111">
        <v>4</v>
      </c>
      <c r="G111">
        <v>8.64</v>
      </c>
      <c r="H111" t="str">
        <f t="shared" si="1"/>
        <v>8.5–9.0</v>
      </c>
      <c r="I111">
        <v>0</v>
      </c>
      <c r="J111">
        <v>0.68</v>
      </c>
    </row>
    <row r="112" spans="1:10" x14ac:dyDescent="0.35">
      <c r="A112">
        <v>305</v>
      </c>
      <c r="B112" t="str">
        <f>IF(Table1[[#This Row],[GRE Score]]&lt;=310,"300–310", IF(Table1[[#This Row],[GRE Score]]&lt;=320,"310–320", IF(Table1[[#This Row],[GRE Score]]&lt;=330,"320–330","330+")))</f>
        <v>300–310</v>
      </c>
      <c r="C112">
        <v>108</v>
      </c>
      <c r="D112">
        <v>5</v>
      </c>
      <c r="E112">
        <v>3</v>
      </c>
      <c r="F112">
        <v>3</v>
      </c>
      <c r="G112">
        <v>8.48</v>
      </c>
      <c r="H112" t="str">
        <f t="shared" si="1"/>
        <v>8.0–8.5</v>
      </c>
      <c r="I112">
        <v>0</v>
      </c>
      <c r="J112">
        <v>0.61</v>
      </c>
    </row>
    <row r="113" spans="1:10" x14ac:dyDescent="0.35">
      <c r="A113">
        <v>321</v>
      </c>
      <c r="B113" t="str">
        <f>IF(Table1[[#This Row],[GRE Score]]&lt;=310,"300–310", IF(Table1[[#This Row],[GRE Score]]&lt;=320,"310–320", IF(Table1[[#This Row],[GRE Score]]&lt;=330,"320–330","330+")))</f>
        <v>320–330</v>
      </c>
      <c r="C113">
        <v>109</v>
      </c>
      <c r="D113">
        <v>4</v>
      </c>
      <c r="E113">
        <v>4</v>
      </c>
      <c r="F113">
        <v>4</v>
      </c>
      <c r="G113">
        <v>8.68</v>
      </c>
      <c r="H113" t="str">
        <f t="shared" si="1"/>
        <v>8.5–9.0</v>
      </c>
      <c r="I113">
        <v>1</v>
      </c>
      <c r="J113">
        <v>0.69</v>
      </c>
    </row>
    <row r="114" spans="1:10" x14ac:dyDescent="0.35">
      <c r="A114">
        <v>301</v>
      </c>
      <c r="B114" t="str">
        <f>IF(Table1[[#This Row],[GRE Score]]&lt;=310,"300–310", IF(Table1[[#This Row],[GRE Score]]&lt;=320,"310–320", IF(Table1[[#This Row],[GRE Score]]&lt;=330,"320–330","330+")))</f>
        <v>300–310</v>
      </c>
      <c r="C114">
        <v>107</v>
      </c>
      <c r="D114">
        <v>3</v>
      </c>
      <c r="E114">
        <v>3.5</v>
      </c>
      <c r="F114">
        <v>3.5</v>
      </c>
      <c r="G114">
        <v>8.34</v>
      </c>
      <c r="H114" t="str">
        <f t="shared" si="1"/>
        <v>8.0–8.5</v>
      </c>
      <c r="I114">
        <v>1</v>
      </c>
      <c r="J114">
        <v>0.62</v>
      </c>
    </row>
    <row r="115" spans="1:10" x14ac:dyDescent="0.35">
      <c r="A115">
        <v>320</v>
      </c>
      <c r="B115" t="str">
        <f>IF(Table1[[#This Row],[GRE Score]]&lt;=310,"300–310", IF(Table1[[#This Row],[GRE Score]]&lt;=320,"310–320", IF(Table1[[#This Row],[GRE Score]]&lt;=330,"320–330","330+")))</f>
        <v>310–320</v>
      </c>
      <c r="C115">
        <v>110</v>
      </c>
      <c r="D115">
        <v>2</v>
      </c>
      <c r="E115">
        <v>4</v>
      </c>
      <c r="F115">
        <v>3.5</v>
      </c>
      <c r="G115">
        <v>8.56</v>
      </c>
      <c r="H115" t="str">
        <f t="shared" si="1"/>
        <v>8.5–9.0</v>
      </c>
      <c r="I115">
        <v>0</v>
      </c>
      <c r="J115">
        <v>0.72</v>
      </c>
    </row>
    <row r="116" spans="1:10" x14ac:dyDescent="0.35">
      <c r="A116">
        <v>311</v>
      </c>
      <c r="B116" t="str">
        <f>IF(Table1[[#This Row],[GRE Score]]&lt;=310,"300–310", IF(Table1[[#This Row],[GRE Score]]&lt;=320,"310–320", IF(Table1[[#This Row],[GRE Score]]&lt;=330,"320–330","330+")))</f>
        <v>310–320</v>
      </c>
      <c r="C116">
        <v>105</v>
      </c>
      <c r="D116">
        <v>3</v>
      </c>
      <c r="E116">
        <v>3.5</v>
      </c>
      <c r="F116">
        <v>3</v>
      </c>
      <c r="G116">
        <v>8.4499999999999993</v>
      </c>
      <c r="H116" t="str">
        <f t="shared" si="1"/>
        <v>8.0–8.5</v>
      </c>
      <c r="I116">
        <v>1</v>
      </c>
      <c r="J116">
        <v>0.59</v>
      </c>
    </row>
    <row r="117" spans="1:10" x14ac:dyDescent="0.35">
      <c r="A117">
        <v>310</v>
      </c>
      <c r="B117" t="str">
        <f>IF(Table1[[#This Row],[GRE Score]]&lt;=310,"300–310", IF(Table1[[#This Row],[GRE Score]]&lt;=320,"310–320", IF(Table1[[#This Row],[GRE Score]]&lt;=330,"320–330","330+")))</f>
        <v>300–310</v>
      </c>
      <c r="C117">
        <v>106</v>
      </c>
      <c r="D117">
        <v>4</v>
      </c>
      <c r="E117">
        <v>4.5</v>
      </c>
      <c r="F117">
        <v>4.5</v>
      </c>
      <c r="G117">
        <v>9.0399999999999991</v>
      </c>
      <c r="H117" t="str">
        <f t="shared" si="1"/>
        <v>9.0+</v>
      </c>
      <c r="I117">
        <v>1</v>
      </c>
      <c r="J117">
        <v>0.66</v>
      </c>
    </row>
    <row r="118" spans="1:10" x14ac:dyDescent="0.35">
      <c r="A118">
        <v>299</v>
      </c>
      <c r="B118" t="str">
        <f>IF(Table1[[#This Row],[GRE Score]]&lt;=310,"300–310", IF(Table1[[#This Row],[GRE Score]]&lt;=320,"310–320", IF(Table1[[#This Row],[GRE Score]]&lt;=330,"320–330","330+")))</f>
        <v>300–310</v>
      </c>
      <c r="C118">
        <v>102</v>
      </c>
      <c r="D118">
        <v>3</v>
      </c>
      <c r="E118">
        <v>4</v>
      </c>
      <c r="F118">
        <v>3.5</v>
      </c>
      <c r="G118">
        <v>8.6199999999999992</v>
      </c>
      <c r="H118" t="str">
        <f t="shared" si="1"/>
        <v>8.5–9.0</v>
      </c>
      <c r="I118">
        <v>0</v>
      </c>
      <c r="J118">
        <v>0.56000000000000005</v>
      </c>
    </row>
    <row r="119" spans="1:10" x14ac:dyDescent="0.35">
      <c r="A119">
        <v>290</v>
      </c>
      <c r="B119" t="str">
        <f>IF(Table1[[#This Row],[GRE Score]]&lt;=310,"300–310", IF(Table1[[#This Row],[GRE Score]]&lt;=320,"310–320", IF(Table1[[#This Row],[GRE Score]]&lt;=330,"320–330","330+")))</f>
        <v>300–310</v>
      </c>
      <c r="C119">
        <v>104</v>
      </c>
      <c r="D119">
        <v>4</v>
      </c>
      <c r="E119">
        <v>2</v>
      </c>
      <c r="F119">
        <v>2.5</v>
      </c>
      <c r="G119">
        <v>7.46</v>
      </c>
      <c r="H119" t="str">
        <f t="shared" si="1"/>
        <v>7.5–8.0</v>
      </c>
      <c r="I119">
        <v>0</v>
      </c>
      <c r="J119">
        <v>0.45</v>
      </c>
    </row>
    <row r="120" spans="1:10" x14ac:dyDescent="0.35">
      <c r="A120">
        <v>296</v>
      </c>
      <c r="B120" t="str">
        <f>IF(Table1[[#This Row],[GRE Score]]&lt;=310,"300–310", IF(Table1[[#This Row],[GRE Score]]&lt;=320,"310–320", IF(Table1[[#This Row],[GRE Score]]&lt;=330,"320–330","330+")))</f>
        <v>300–310</v>
      </c>
      <c r="C120">
        <v>99</v>
      </c>
      <c r="D120">
        <v>2</v>
      </c>
      <c r="E120">
        <v>3</v>
      </c>
      <c r="F120">
        <v>3.5</v>
      </c>
      <c r="G120">
        <v>7.28</v>
      </c>
      <c r="H120" t="str">
        <f t="shared" si="1"/>
        <v>7.5–8.0</v>
      </c>
      <c r="I120">
        <v>0</v>
      </c>
      <c r="J120">
        <v>0.47</v>
      </c>
    </row>
    <row r="121" spans="1:10" x14ac:dyDescent="0.35">
      <c r="A121">
        <v>327</v>
      </c>
      <c r="B121" t="str">
        <f>IF(Table1[[#This Row],[GRE Score]]&lt;=310,"300–310", IF(Table1[[#This Row],[GRE Score]]&lt;=320,"310–320", IF(Table1[[#This Row],[GRE Score]]&lt;=330,"320–330","330+")))</f>
        <v>320–330</v>
      </c>
      <c r="C121">
        <v>104</v>
      </c>
      <c r="D121">
        <v>5</v>
      </c>
      <c r="E121">
        <v>3</v>
      </c>
      <c r="F121">
        <v>3.5</v>
      </c>
      <c r="G121">
        <v>8.84</v>
      </c>
      <c r="H121" t="str">
        <f t="shared" si="1"/>
        <v>8.5–9.0</v>
      </c>
      <c r="I121">
        <v>1</v>
      </c>
      <c r="J121">
        <v>0.71</v>
      </c>
    </row>
    <row r="122" spans="1:10" x14ac:dyDescent="0.35">
      <c r="A122">
        <v>335</v>
      </c>
      <c r="B122" t="str">
        <f>IF(Table1[[#This Row],[GRE Score]]&lt;=310,"300–310", IF(Table1[[#This Row],[GRE Score]]&lt;=320,"310–320", IF(Table1[[#This Row],[GRE Score]]&lt;=330,"320–330","330+")))</f>
        <v>330+</v>
      </c>
      <c r="C122">
        <v>117</v>
      </c>
      <c r="D122">
        <v>5</v>
      </c>
      <c r="E122">
        <v>5</v>
      </c>
      <c r="F122">
        <v>5</v>
      </c>
      <c r="G122">
        <v>9.56</v>
      </c>
      <c r="H122" t="str">
        <f t="shared" si="1"/>
        <v>9.0+</v>
      </c>
      <c r="I122">
        <v>1</v>
      </c>
      <c r="J122">
        <v>0.94</v>
      </c>
    </row>
    <row r="123" spans="1:10" x14ac:dyDescent="0.35">
      <c r="A123">
        <v>334</v>
      </c>
      <c r="B123" t="str">
        <f>IF(Table1[[#This Row],[GRE Score]]&lt;=310,"300–310", IF(Table1[[#This Row],[GRE Score]]&lt;=320,"310–320", IF(Table1[[#This Row],[GRE Score]]&lt;=330,"320–330","330+")))</f>
        <v>330+</v>
      </c>
      <c r="C123">
        <v>119</v>
      </c>
      <c r="D123">
        <v>5</v>
      </c>
      <c r="E123">
        <v>4.5</v>
      </c>
      <c r="F123">
        <v>4.5</v>
      </c>
      <c r="G123">
        <v>9.48</v>
      </c>
      <c r="H123" t="str">
        <f t="shared" si="1"/>
        <v>9.0+</v>
      </c>
      <c r="I123">
        <v>1</v>
      </c>
      <c r="J123">
        <v>0.94</v>
      </c>
    </row>
    <row r="124" spans="1:10" x14ac:dyDescent="0.35">
      <c r="A124">
        <v>310</v>
      </c>
      <c r="B124" t="str">
        <f>IF(Table1[[#This Row],[GRE Score]]&lt;=310,"300–310", IF(Table1[[#This Row],[GRE Score]]&lt;=320,"310–320", IF(Table1[[#This Row],[GRE Score]]&lt;=330,"320–330","330+")))</f>
        <v>300–310</v>
      </c>
      <c r="C124">
        <v>106</v>
      </c>
      <c r="D124">
        <v>4</v>
      </c>
      <c r="E124">
        <v>1.5</v>
      </c>
      <c r="F124">
        <v>2.5</v>
      </c>
      <c r="G124">
        <v>8.36</v>
      </c>
      <c r="H124" t="str">
        <f t="shared" si="1"/>
        <v>8.0–8.5</v>
      </c>
      <c r="I124">
        <v>0</v>
      </c>
      <c r="J124">
        <v>0.56999999999999995</v>
      </c>
    </row>
    <row r="125" spans="1:10" x14ac:dyDescent="0.35">
      <c r="A125">
        <v>308</v>
      </c>
      <c r="B125" t="str">
        <f>IF(Table1[[#This Row],[GRE Score]]&lt;=310,"300–310", IF(Table1[[#This Row],[GRE Score]]&lt;=320,"310–320", IF(Table1[[#This Row],[GRE Score]]&lt;=330,"320–330","330+")))</f>
        <v>300–310</v>
      </c>
      <c r="C125">
        <v>108</v>
      </c>
      <c r="D125">
        <v>3</v>
      </c>
      <c r="E125">
        <v>3.5</v>
      </c>
      <c r="F125">
        <v>3.5</v>
      </c>
      <c r="G125">
        <v>8.2200000000000006</v>
      </c>
      <c r="H125" t="str">
        <f t="shared" si="1"/>
        <v>8.0–8.5</v>
      </c>
      <c r="I125">
        <v>0</v>
      </c>
      <c r="J125">
        <v>0.61</v>
      </c>
    </row>
    <row r="126" spans="1:10" x14ac:dyDescent="0.35">
      <c r="A126">
        <v>301</v>
      </c>
      <c r="B126" t="str">
        <f>IF(Table1[[#This Row],[GRE Score]]&lt;=310,"300–310", IF(Table1[[#This Row],[GRE Score]]&lt;=320,"310–320", IF(Table1[[#This Row],[GRE Score]]&lt;=330,"320–330","330+")))</f>
        <v>300–310</v>
      </c>
      <c r="C126">
        <v>106</v>
      </c>
      <c r="D126">
        <v>4</v>
      </c>
      <c r="E126">
        <v>2.5</v>
      </c>
      <c r="F126">
        <v>3</v>
      </c>
      <c r="G126">
        <v>8.4700000000000006</v>
      </c>
      <c r="H126" t="str">
        <f t="shared" si="1"/>
        <v>8.0–8.5</v>
      </c>
      <c r="I126">
        <v>0</v>
      </c>
      <c r="J126">
        <v>0.56999999999999995</v>
      </c>
    </row>
    <row r="127" spans="1:10" x14ac:dyDescent="0.35">
      <c r="A127">
        <v>300</v>
      </c>
      <c r="B127" t="str">
        <f>IF(Table1[[#This Row],[GRE Score]]&lt;=310,"300–310", IF(Table1[[#This Row],[GRE Score]]&lt;=320,"310–320", IF(Table1[[#This Row],[GRE Score]]&lt;=330,"320–330","330+")))</f>
        <v>300–310</v>
      </c>
      <c r="C127">
        <v>100</v>
      </c>
      <c r="D127">
        <v>3</v>
      </c>
      <c r="E127">
        <v>2</v>
      </c>
      <c r="F127">
        <v>3</v>
      </c>
      <c r="G127">
        <v>8.66</v>
      </c>
      <c r="H127" t="str">
        <f t="shared" si="1"/>
        <v>8.5–9.0</v>
      </c>
      <c r="I127">
        <v>1</v>
      </c>
      <c r="J127">
        <v>0.64</v>
      </c>
    </row>
    <row r="128" spans="1:10" x14ac:dyDescent="0.35">
      <c r="A128">
        <v>323</v>
      </c>
      <c r="B128" t="str">
        <f>IF(Table1[[#This Row],[GRE Score]]&lt;=310,"300–310", IF(Table1[[#This Row],[GRE Score]]&lt;=320,"310–320", IF(Table1[[#This Row],[GRE Score]]&lt;=330,"320–330","330+")))</f>
        <v>320–330</v>
      </c>
      <c r="C128">
        <v>113</v>
      </c>
      <c r="D128">
        <v>3</v>
      </c>
      <c r="E128">
        <v>4</v>
      </c>
      <c r="F128">
        <v>3</v>
      </c>
      <c r="G128">
        <v>9.32</v>
      </c>
      <c r="H128" t="str">
        <f t="shared" si="1"/>
        <v>9.0+</v>
      </c>
      <c r="I128">
        <v>1</v>
      </c>
      <c r="J128">
        <v>0.85</v>
      </c>
    </row>
    <row r="129" spans="1:10" x14ac:dyDescent="0.35">
      <c r="A129">
        <v>319</v>
      </c>
      <c r="B129" t="str">
        <f>IF(Table1[[#This Row],[GRE Score]]&lt;=310,"300–310", IF(Table1[[#This Row],[GRE Score]]&lt;=320,"310–320", IF(Table1[[#This Row],[GRE Score]]&lt;=330,"320–330","330+")))</f>
        <v>310–320</v>
      </c>
      <c r="C129">
        <v>112</v>
      </c>
      <c r="D129">
        <v>3</v>
      </c>
      <c r="E129">
        <v>2.5</v>
      </c>
      <c r="F129">
        <v>2</v>
      </c>
      <c r="G129">
        <v>8.7100000000000009</v>
      </c>
      <c r="H129" t="str">
        <f t="shared" si="1"/>
        <v>8.5–9.0</v>
      </c>
      <c r="I129">
        <v>1</v>
      </c>
      <c r="J129">
        <v>0.78</v>
      </c>
    </row>
    <row r="130" spans="1:10" x14ac:dyDescent="0.35">
      <c r="A130">
        <v>326</v>
      </c>
      <c r="B130" t="str">
        <f>IF(Table1[[#This Row],[GRE Score]]&lt;=310,"300–310", IF(Table1[[#This Row],[GRE Score]]&lt;=320,"310–320", IF(Table1[[#This Row],[GRE Score]]&lt;=330,"320–330","330+")))</f>
        <v>320–330</v>
      </c>
      <c r="C130">
        <v>112</v>
      </c>
      <c r="D130">
        <v>3</v>
      </c>
      <c r="E130">
        <v>3.5</v>
      </c>
      <c r="F130">
        <v>3</v>
      </c>
      <c r="G130">
        <v>9.1</v>
      </c>
      <c r="H130" t="str">
        <f t="shared" ref="H130:H193" si="2">IF(G130&lt;8,"7.5–8.0",
IF(G130&lt;8.5,"8.0–8.5",
IF(G130&lt;9,"8.5–9.0","9.0+")))</f>
        <v>9.0+</v>
      </c>
      <c r="I130">
        <v>1</v>
      </c>
      <c r="J130">
        <v>0.84</v>
      </c>
    </row>
    <row r="131" spans="1:10" x14ac:dyDescent="0.35">
      <c r="A131">
        <v>333</v>
      </c>
      <c r="B131" t="str">
        <f>IF(Table1[[#This Row],[GRE Score]]&lt;=310,"300–310", IF(Table1[[#This Row],[GRE Score]]&lt;=320,"310–320", IF(Table1[[#This Row],[GRE Score]]&lt;=330,"320–330","330+")))</f>
        <v>330+</v>
      </c>
      <c r="C131">
        <v>118</v>
      </c>
      <c r="D131">
        <v>5</v>
      </c>
      <c r="E131">
        <v>5</v>
      </c>
      <c r="F131">
        <v>5</v>
      </c>
      <c r="G131">
        <v>9.35</v>
      </c>
      <c r="H131" t="str">
        <f t="shared" si="2"/>
        <v>9.0+</v>
      </c>
      <c r="I131">
        <v>1</v>
      </c>
      <c r="J131">
        <v>0.92</v>
      </c>
    </row>
    <row r="132" spans="1:10" x14ac:dyDescent="0.35">
      <c r="A132">
        <v>339</v>
      </c>
      <c r="B132" t="str">
        <f>IF(Table1[[#This Row],[GRE Score]]&lt;=310,"300–310", IF(Table1[[#This Row],[GRE Score]]&lt;=320,"310–320", IF(Table1[[#This Row],[GRE Score]]&lt;=330,"320–330","330+")))</f>
        <v>330+</v>
      </c>
      <c r="C132">
        <v>114</v>
      </c>
      <c r="D132">
        <v>5</v>
      </c>
      <c r="E132">
        <v>4</v>
      </c>
      <c r="F132">
        <v>4.5</v>
      </c>
      <c r="G132">
        <v>9.76</v>
      </c>
      <c r="H132" t="str">
        <f t="shared" si="2"/>
        <v>9.0+</v>
      </c>
      <c r="I132">
        <v>1</v>
      </c>
      <c r="J132">
        <v>0.96</v>
      </c>
    </row>
    <row r="133" spans="1:10" x14ac:dyDescent="0.35">
      <c r="A133">
        <v>303</v>
      </c>
      <c r="B133" t="str">
        <f>IF(Table1[[#This Row],[GRE Score]]&lt;=310,"300–310", IF(Table1[[#This Row],[GRE Score]]&lt;=320,"310–320", IF(Table1[[#This Row],[GRE Score]]&lt;=330,"320–330","330+")))</f>
        <v>300–310</v>
      </c>
      <c r="C133">
        <v>105</v>
      </c>
      <c r="D133">
        <v>5</v>
      </c>
      <c r="E133">
        <v>5</v>
      </c>
      <c r="F133">
        <v>4.5</v>
      </c>
      <c r="G133">
        <v>8.65</v>
      </c>
      <c r="H133" t="str">
        <f t="shared" si="2"/>
        <v>8.5–9.0</v>
      </c>
      <c r="I133">
        <v>0</v>
      </c>
      <c r="J133">
        <v>0.77</v>
      </c>
    </row>
    <row r="134" spans="1:10" x14ac:dyDescent="0.35">
      <c r="A134">
        <v>309</v>
      </c>
      <c r="B134" t="str">
        <f>IF(Table1[[#This Row],[GRE Score]]&lt;=310,"300–310", IF(Table1[[#This Row],[GRE Score]]&lt;=320,"310–320", IF(Table1[[#This Row],[GRE Score]]&lt;=330,"320–330","330+")))</f>
        <v>300–310</v>
      </c>
      <c r="C134">
        <v>105</v>
      </c>
      <c r="D134">
        <v>5</v>
      </c>
      <c r="E134">
        <v>3.5</v>
      </c>
      <c r="F134">
        <v>3.5</v>
      </c>
      <c r="G134">
        <v>8.56</v>
      </c>
      <c r="H134" t="str">
        <f t="shared" si="2"/>
        <v>8.5–9.0</v>
      </c>
      <c r="I134">
        <v>0</v>
      </c>
      <c r="J134">
        <v>0.71</v>
      </c>
    </row>
    <row r="135" spans="1:10" x14ac:dyDescent="0.35">
      <c r="A135">
        <v>323</v>
      </c>
      <c r="B135" t="str">
        <f>IF(Table1[[#This Row],[GRE Score]]&lt;=310,"300–310", IF(Table1[[#This Row],[GRE Score]]&lt;=320,"310–320", IF(Table1[[#This Row],[GRE Score]]&lt;=330,"320–330","330+")))</f>
        <v>320–330</v>
      </c>
      <c r="C135">
        <v>112</v>
      </c>
      <c r="D135">
        <v>5</v>
      </c>
      <c r="E135">
        <v>4</v>
      </c>
      <c r="F135">
        <v>4.5</v>
      </c>
      <c r="G135">
        <v>8.7799999999999994</v>
      </c>
      <c r="H135" t="str">
        <f t="shared" si="2"/>
        <v>8.5–9.0</v>
      </c>
      <c r="I135">
        <v>0</v>
      </c>
      <c r="J135">
        <v>0.79</v>
      </c>
    </row>
    <row r="136" spans="1:10" x14ac:dyDescent="0.35">
      <c r="A136">
        <v>333</v>
      </c>
      <c r="B136" t="str">
        <f>IF(Table1[[#This Row],[GRE Score]]&lt;=310,"300–310", IF(Table1[[#This Row],[GRE Score]]&lt;=320,"310–320", IF(Table1[[#This Row],[GRE Score]]&lt;=330,"320–330","330+")))</f>
        <v>330+</v>
      </c>
      <c r="C136">
        <v>113</v>
      </c>
      <c r="D136">
        <v>5</v>
      </c>
      <c r="E136">
        <v>4</v>
      </c>
      <c r="F136">
        <v>4</v>
      </c>
      <c r="G136">
        <v>9.2799999999999994</v>
      </c>
      <c r="H136" t="str">
        <f t="shared" si="2"/>
        <v>9.0+</v>
      </c>
      <c r="I136">
        <v>1</v>
      </c>
      <c r="J136">
        <v>0.89</v>
      </c>
    </row>
    <row r="137" spans="1:10" x14ac:dyDescent="0.35">
      <c r="A137">
        <v>314</v>
      </c>
      <c r="B137" t="str">
        <f>IF(Table1[[#This Row],[GRE Score]]&lt;=310,"300–310", IF(Table1[[#This Row],[GRE Score]]&lt;=320,"310–320", IF(Table1[[#This Row],[GRE Score]]&lt;=330,"320–330","330+")))</f>
        <v>310–320</v>
      </c>
      <c r="C137">
        <v>109</v>
      </c>
      <c r="D137">
        <v>4</v>
      </c>
      <c r="E137">
        <v>3.5</v>
      </c>
      <c r="F137">
        <v>4</v>
      </c>
      <c r="G137">
        <v>8.77</v>
      </c>
      <c r="H137" t="str">
        <f t="shared" si="2"/>
        <v>8.5–9.0</v>
      </c>
      <c r="I137">
        <v>1</v>
      </c>
      <c r="J137">
        <v>0.82</v>
      </c>
    </row>
    <row r="138" spans="1:10" x14ac:dyDescent="0.35">
      <c r="A138">
        <v>312</v>
      </c>
      <c r="B138" t="str">
        <f>IF(Table1[[#This Row],[GRE Score]]&lt;=310,"300–310", IF(Table1[[#This Row],[GRE Score]]&lt;=320,"310–320", IF(Table1[[#This Row],[GRE Score]]&lt;=330,"320–330","330+")))</f>
        <v>310–320</v>
      </c>
      <c r="C138">
        <v>103</v>
      </c>
      <c r="D138">
        <v>3</v>
      </c>
      <c r="E138">
        <v>5</v>
      </c>
      <c r="F138">
        <v>4</v>
      </c>
      <c r="G138">
        <v>8.4499999999999993</v>
      </c>
      <c r="H138" t="str">
        <f t="shared" si="2"/>
        <v>8.0–8.5</v>
      </c>
      <c r="I138">
        <v>0</v>
      </c>
      <c r="J138">
        <v>0.76</v>
      </c>
    </row>
    <row r="139" spans="1:10" x14ac:dyDescent="0.35">
      <c r="A139">
        <v>316</v>
      </c>
      <c r="B139" t="str">
        <f>IF(Table1[[#This Row],[GRE Score]]&lt;=310,"300–310", IF(Table1[[#This Row],[GRE Score]]&lt;=320,"310–320", IF(Table1[[#This Row],[GRE Score]]&lt;=330,"320–330","330+")))</f>
        <v>310–320</v>
      </c>
      <c r="C139">
        <v>100</v>
      </c>
      <c r="D139">
        <v>2</v>
      </c>
      <c r="E139">
        <v>1.5</v>
      </c>
      <c r="F139">
        <v>3</v>
      </c>
      <c r="G139">
        <v>8.16</v>
      </c>
      <c r="H139" t="str">
        <f t="shared" si="2"/>
        <v>8.0–8.5</v>
      </c>
      <c r="I139">
        <v>1</v>
      </c>
      <c r="J139">
        <v>0.71</v>
      </c>
    </row>
    <row r="140" spans="1:10" x14ac:dyDescent="0.35">
      <c r="A140">
        <v>326</v>
      </c>
      <c r="B140" t="str">
        <f>IF(Table1[[#This Row],[GRE Score]]&lt;=310,"300–310", IF(Table1[[#This Row],[GRE Score]]&lt;=320,"310–320", IF(Table1[[#This Row],[GRE Score]]&lt;=330,"320–330","330+")))</f>
        <v>320–330</v>
      </c>
      <c r="C140">
        <v>116</v>
      </c>
      <c r="D140">
        <v>2</v>
      </c>
      <c r="E140">
        <v>4.5</v>
      </c>
      <c r="F140">
        <v>3</v>
      </c>
      <c r="G140">
        <v>9.08</v>
      </c>
      <c r="H140" t="str">
        <f t="shared" si="2"/>
        <v>9.0+</v>
      </c>
      <c r="I140">
        <v>1</v>
      </c>
      <c r="J140">
        <v>0.8</v>
      </c>
    </row>
    <row r="141" spans="1:10" x14ac:dyDescent="0.35">
      <c r="A141">
        <v>318</v>
      </c>
      <c r="B141" t="str">
        <f>IF(Table1[[#This Row],[GRE Score]]&lt;=310,"300–310", IF(Table1[[#This Row],[GRE Score]]&lt;=320,"310–320", IF(Table1[[#This Row],[GRE Score]]&lt;=330,"320–330","330+")))</f>
        <v>310–320</v>
      </c>
      <c r="C141">
        <v>109</v>
      </c>
      <c r="D141">
        <v>1</v>
      </c>
      <c r="E141">
        <v>3.5</v>
      </c>
      <c r="F141">
        <v>3.5</v>
      </c>
      <c r="G141">
        <v>9.1199999999999992</v>
      </c>
      <c r="H141" t="str">
        <f t="shared" si="2"/>
        <v>9.0+</v>
      </c>
      <c r="I141">
        <v>0</v>
      </c>
      <c r="J141">
        <v>0.78</v>
      </c>
    </row>
    <row r="142" spans="1:10" x14ac:dyDescent="0.35">
      <c r="A142">
        <v>329</v>
      </c>
      <c r="B142" t="str">
        <f>IF(Table1[[#This Row],[GRE Score]]&lt;=310,"300–310", IF(Table1[[#This Row],[GRE Score]]&lt;=320,"310–320", IF(Table1[[#This Row],[GRE Score]]&lt;=330,"320–330","330+")))</f>
        <v>320–330</v>
      </c>
      <c r="C142">
        <v>110</v>
      </c>
      <c r="D142">
        <v>2</v>
      </c>
      <c r="E142">
        <v>4</v>
      </c>
      <c r="F142">
        <v>3</v>
      </c>
      <c r="G142">
        <v>9.15</v>
      </c>
      <c r="H142" t="str">
        <f t="shared" si="2"/>
        <v>9.0+</v>
      </c>
      <c r="I142">
        <v>1</v>
      </c>
      <c r="J142">
        <v>0.84</v>
      </c>
    </row>
    <row r="143" spans="1:10" x14ac:dyDescent="0.35">
      <c r="A143">
        <v>332</v>
      </c>
      <c r="B143" t="str">
        <f>IF(Table1[[#This Row],[GRE Score]]&lt;=310,"300–310", IF(Table1[[#This Row],[GRE Score]]&lt;=320,"310–320", IF(Table1[[#This Row],[GRE Score]]&lt;=330,"320–330","330+")))</f>
        <v>330+</v>
      </c>
      <c r="C143">
        <v>118</v>
      </c>
      <c r="D143">
        <v>2</v>
      </c>
      <c r="E143">
        <v>4.5</v>
      </c>
      <c r="F143">
        <v>3.5</v>
      </c>
      <c r="G143">
        <v>9.36</v>
      </c>
      <c r="H143" t="str">
        <f t="shared" si="2"/>
        <v>9.0+</v>
      </c>
      <c r="I143">
        <v>1</v>
      </c>
      <c r="J143">
        <v>0.9</v>
      </c>
    </row>
    <row r="144" spans="1:10" x14ac:dyDescent="0.35">
      <c r="A144">
        <v>331</v>
      </c>
      <c r="B144" t="str">
        <f>IF(Table1[[#This Row],[GRE Score]]&lt;=310,"300–310", IF(Table1[[#This Row],[GRE Score]]&lt;=320,"310–320", IF(Table1[[#This Row],[GRE Score]]&lt;=330,"320–330","330+")))</f>
        <v>330+</v>
      </c>
      <c r="C144">
        <v>115</v>
      </c>
      <c r="D144">
        <v>5</v>
      </c>
      <c r="E144">
        <v>4</v>
      </c>
      <c r="F144">
        <v>3.5</v>
      </c>
      <c r="G144">
        <v>9.44</v>
      </c>
      <c r="H144" t="str">
        <f t="shared" si="2"/>
        <v>9.0+</v>
      </c>
      <c r="I144">
        <v>1</v>
      </c>
      <c r="J144">
        <v>0.92</v>
      </c>
    </row>
    <row r="145" spans="1:10" x14ac:dyDescent="0.35">
      <c r="A145">
        <v>340</v>
      </c>
      <c r="B145" t="str">
        <f>IF(Table1[[#This Row],[GRE Score]]&lt;=310,"300–310", IF(Table1[[#This Row],[GRE Score]]&lt;=320,"310–320", IF(Table1[[#This Row],[GRE Score]]&lt;=330,"320–330","330+")))</f>
        <v>330+</v>
      </c>
      <c r="C145">
        <v>120</v>
      </c>
      <c r="D145">
        <v>4</v>
      </c>
      <c r="E145">
        <v>4.5</v>
      </c>
      <c r="F145">
        <v>4</v>
      </c>
      <c r="G145">
        <v>9.92</v>
      </c>
      <c r="H145" t="str">
        <f t="shared" si="2"/>
        <v>9.0+</v>
      </c>
      <c r="I145">
        <v>1</v>
      </c>
      <c r="J145">
        <v>0.97</v>
      </c>
    </row>
    <row r="146" spans="1:10" x14ac:dyDescent="0.35">
      <c r="A146">
        <v>325</v>
      </c>
      <c r="B146" t="str">
        <f>IF(Table1[[#This Row],[GRE Score]]&lt;=310,"300–310", IF(Table1[[#This Row],[GRE Score]]&lt;=320,"310–320", IF(Table1[[#This Row],[GRE Score]]&lt;=330,"320–330","330+")))</f>
        <v>320–330</v>
      </c>
      <c r="C146">
        <v>112</v>
      </c>
      <c r="D146">
        <v>2</v>
      </c>
      <c r="E146">
        <v>3</v>
      </c>
      <c r="F146">
        <v>3.5</v>
      </c>
      <c r="G146">
        <v>8.9600000000000009</v>
      </c>
      <c r="H146" t="str">
        <f t="shared" si="2"/>
        <v>8.5–9.0</v>
      </c>
      <c r="I146">
        <v>1</v>
      </c>
      <c r="J146">
        <v>0.8</v>
      </c>
    </row>
    <row r="147" spans="1:10" x14ac:dyDescent="0.35">
      <c r="A147">
        <v>320</v>
      </c>
      <c r="B147" t="str">
        <f>IF(Table1[[#This Row],[GRE Score]]&lt;=310,"300–310", IF(Table1[[#This Row],[GRE Score]]&lt;=320,"310–320", IF(Table1[[#This Row],[GRE Score]]&lt;=330,"320–330","330+")))</f>
        <v>310–320</v>
      </c>
      <c r="C147">
        <v>113</v>
      </c>
      <c r="D147">
        <v>2</v>
      </c>
      <c r="E147">
        <v>2</v>
      </c>
      <c r="F147">
        <v>2.5</v>
      </c>
      <c r="G147">
        <v>8.64</v>
      </c>
      <c r="H147" t="str">
        <f t="shared" si="2"/>
        <v>8.5–9.0</v>
      </c>
      <c r="I147">
        <v>1</v>
      </c>
      <c r="J147">
        <v>0.81</v>
      </c>
    </row>
    <row r="148" spans="1:10" x14ac:dyDescent="0.35">
      <c r="A148">
        <v>315</v>
      </c>
      <c r="B148" t="str">
        <f>IF(Table1[[#This Row],[GRE Score]]&lt;=310,"300–310", IF(Table1[[#This Row],[GRE Score]]&lt;=320,"310–320", IF(Table1[[#This Row],[GRE Score]]&lt;=330,"320–330","330+")))</f>
        <v>310–320</v>
      </c>
      <c r="C148">
        <v>105</v>
      </c>
      <c r="D148">
        <v>3</v>
      </c>
      <c r="E148">
        <v>2</v>
      </c>
      <c r="F148">
        <v>2.5</v>
      </c>
      <c r="G148">
        <v>8.48</v>
      </c>
      <c r="H148" t="str">
        <f t="shared" si="2"/>
        <v>8.0–8.5</v>
      </c>
      <c r="I148">
        <v>0</v>
      </c>
      <c r="J148">
        <v>0.75</v>
      </c>
    </row>
    <row r="149" spans="1:10" x14ac:dyDescent="0.35">
      <c r="A149">
        <v>326</v>
      </c>
      <c r="B149" t="str">
        <f>IF(Table1[[#This Row],[GRE Score]]&lt;=310,"300–310", IF(Table1[[#This Row],[GRE Score]]&lt;=320,"310–320", IF(Table1[[#This Row],[GRE Score]]&lt;=330,"320–330","330+")))</f>
        <v>320–330</v>
      </c>
      <c r="C149">
        <v>114</v>
      </c>
      <c r="D149">
        <v>3</v>
      </c>
      <c r="E149">
        <v>3</v>
      </c>
      <c r="F149">
        <v>3</v>
      </c>
      <c r="G149">
        <v>9.11</v>
      </c>
      <c r="H149" t="str">
        <f t="shared" si="2"/>
        <v>9.0+</v>
      </c>
      <c r="I149">
        <v>1</v>
      </c>
      <c r="J149">
        <v>0.83</v>
      </c>
    </row>
    <row r="150" spans="1:10" x14ac:dyDescent="0.35">
      <c r="A150">
        <v>339</v>
      </c>
      <c r="B150" t="str">
        <f>IF(Table1[[#This Row],[GRE Score]]&lt;=310,"300–310", IF(Table1[[#This Row],[GRE Score]]&lt;=320,"310–320", IF(Table1[[#This Row],[GRE Score]]&lt;=330,"320–330","330+")))</f>
        <v>330+</v>
      </c>
      <c r="C150">
        <v>116</v>
      </c>
      <c r="D150">
        <v>4</v>
      </c>
      <c r="E150">
        <v>4</v>
      </c>
      <c r="F150">
        <v>3.5</v>
      </c>
      <c r="G150">
        <v>9.8000000000000007</v>
      </c>
      <c r="H150" t="str">
        <f t="shared" si="2"/>
        <v>9.0+</v>
      </c>
      <c r="I150">
        <v>1</v>
      </c>
      <c r="J150">
        <v>0.96</v>
      </c>
    </row>
    <row r="151" spans="1:10" x14ac:dyDescent="0.35">
      <c r="A151">
        <v>311</v>
      </c>
      <c r="B151" t="str">
        <f>IF(Table1[[#This Row],[GRE Score]]&lt;=310,"300–310", IF(Table1[[#This Row],[GRE Score]]&lt;=320,"310–320", IF(Table1[[#This Row],[GRE Score]]&lt;=330,"320–330","330+")))</f>
        <v>310–320</v>
      </c>
      <c r="C151">
        <v>106</v>
      </c>
      <c r="D151">
        <v>2</v>
      </c>
      <c r="E151">
        <v>3.5</v>
      </c>
      <c r="F151">
        <v>3</v>
      </c>
      <c r="G151">
        <v>8.26</v>
      </c>
      <c r="H151" t="str">
        <f t="shared" si="2"/>
        <v>8.0–8.5</v>
      </c>
      <c r="I151">
        <v>1</v>
      </c>
      <c r="J151">
        <v>0.79</v>
      </c>
    </row>
    <row r="152" spans="1:10" x14ac:dyDescent="0.35">
      <c r="A152">
        <v>334</v>
      </c>
      <c r="B152" t="str">
        <f>IF(Table1[[#This Row],[GRE Score]]&lt;=310,"300–310", IF(Table1[[#This Row],[GRE Score]]&lt;=320,"310–320", IF(Table1[[#This Row],[GRE Score]]&lt;=330,"320–330","330+")))</f>
        <v>330+</v>
      </c>
      <c r="C152">
        <v>114</v>
      </c>
      <c r="D152">
        <v>4</v>
      </c>
      <c r="E152">
        <v>4</v>
      </c>
      <c r="F152">
        <v>4</v>
      </c>
      <c r="G152">
        <v>9.43</v>
      </c>
      <c r="H152" t="str">
        <f t="shared" si="2"/>
        <v>9.0+</v>
      </c>
      <c r="I152">
        <v>1</v>
      </c>
      <c r="J152">
        <v>0.93</v>
      </c>
    </row>
    <row r="153" spans="1:10" x14ac:dyDescent="0.35">
      <c r="A153">
        <v>332</v>
      </c>
      <c r="B153" t="str">
        <f>IF(Table1[[#This Row],[GRE Score]]&lt;=310,"300–310", IF(Table1[[#This Row],[GRE Score]]&lt;=320,"310–320", IF(Table1[[#This Row],[GRE Score]]&lt;=330,"320–330","330+")))</f>
        <v>330+</v>
      </c>
      <c r="C153">
        <v>116</v>
      </c>
      <c r="D153">
        <v>5</v>
      </c>
      <c r="E153">
        <v>5</v>
      </c>
      <c r="F153">
        <v>5</v>
      </c>
      <c r="G153">
        <v>9.2799999999999994</v>
      </c>
      <c r="H153" t="str">
        <f t="shared" si="2"/>
        <v>9.0+</v>
      </c>
      <c r="I153">
        <v>1</v>
      </c>
      <c r="J153">
        <v>0.94</v>
      </c>
    </row>
    <row r="154" spans="1:10" x14ac:dyDescent="0.35">
      <c r="A154">
        <v>321</v>
      </c>
      <c r="B154" t="str">
        <f>IF(Table1[[#This Row],[GRE Score]]&lt;=310,"300–310", IF(Table1[[#This Row],[GRE Score]]&lt;=320,"310–320", IF(Table1[[#This Row],[GRE Score]]&lt;=330,"320–330","330+")))</f>
        <v>320–330</v>
      </c>
      <c r="C154">
        <v>112</v>
      </c>
      <c r="D154">
        <v>5</v>
      </c>
      <c r="E154">
        <v>5</v>
      </c>
      <c r="F154">
        <v>5</v>
      </c>
      <c r="G154">
        <v>9.06</v>
      </c>
      <c r="H154" t="str">
        <f t="shared" si="2"/>
        <v>9.0+</v>
      </c>
      <c r="I154">
        <v>1</v>
      </c>
      <c r="J154">
        <v>0.86</v>
      </c>
    </row>
    <row r="155" spans="1:10" x14ac:dyDescent="0.35">
      <c r="A155">
        <v>324</v>
      </c>
      <c r="B155" t="str">
        <f>IF(Table1[[#This Row],[GRE Score]]&lt;=310,"300–310", IF(Table1[[#This Row],[GRE Score]]&lt;=320,"310–320", IF(Table1[[#This Row],[GRE Score]]&lt;=330,"320–330","330+")))</f>
        <v>320–330</v>
      </c>
      <c r="C155">
        <v>105</v>
      </c>
      <c r="D155">
        <v>3</v>
      </c>
      <c r="E155">
        <v>3</v>
      </c>
      <c r="F155">
        <v>4</v>
      </c>
      <c r="G155">
        <v>8.75</v>
      </c>
      <c r="H155" t="str">
        <f t="shared" si="2"/>
        <v>8.5–9.0</v>
      </c>
      <c r="I155">
        <v>0</v>
      </c>
      <c r="J155">
        <v>0.79</v>
      </c>
    </row>
    <row r="156" spans="1:10" x14ac:dyDescent="0.35">
      <c r="A156">
        <v>326</v>
      </c>
      <c r="B156" t="str">
        <f>IF(Table1[[#This Row],[GRE Score]]&lt;=310,"300–310", IF(Table1[[#This Row],[GRE Score]]&lt;=320,"310–320", IF(Table1[[#This Row],[GRE Score]]&lt;=330,"320–330","330+")))</f>
        <v>320–330</v>
      </c>
      <c r="C156">
        <v>108</v>
      </c>
      <c r="D156">
        <v>3</v>
      </c>
      <c r="E156">
        <v>3</v>
      </c>
      <c r="F156">
        <v>3.5</v>
      </c>
      <c r="G156">
        <v>8.89</v>
      </c>
      <c r="H156" t="str">
        <f t="shared" si="2"/>
        <v>8.5–9.0</v>
      </c>
      <c r="I156">
        <v>0</v>
      </c>
      <c r="J156">
        <v>0.8</v>
      </c>
    </row>
    <row r="157" spans="1:10" x14ac:dyDescent="0.35">
      <c r="A157">
        <v>312</v>
      </c>
      <c r="B157" t="str">
        <f>IF(Table1[[#This Row],[GRE Score]]&lt;=310,"300–310", IF(Table1[[#This Row],[GRE Score]]&lt;=320,"310–320", IF(Table1[[#This Row],[GRE Score]]&lt;=330,"320–330","330+")))</f>
        <v>310–320</v>
      </c>
      <c r="C157">
        <v>109</v>
      </c>
      <c r="D157">
        <v>3</v>
      </c>
      <c r="E157">
        <v>3</v>
      </c>
      <c r="F157">
        <v>3</v>
      </c>
      <c r="G157">
        <v>8.69</v>
      </c>
      <c r="H157" t="str">
        <f t="shared" si="2"/>
        <v>8.5–9.0</v>
      </c>
      <c r="I157">
        <v>0</v>
      </c>
      <c r="J157">
        <v>0.77</v>
      </c>
    </row>
    <row r="158" spans="1:10" x14ac:dyDescent="0.35">
      <c r="A158">
        <v>315</v>
      </c>
      <c r="B158" t="str">
        <f>IF(Table1[[#This Row],[GRE Score]]&lt;=310,"300–310", IF(Table1[[#This Row],[GRE Score]]&lt;=320,"310–320", IF(Table1[[#This Row],[GRE Score]]&lt;=330,"320–330","330+")))</f>
        <v>310–320</v>
      </c>
      <c r="C158">
        <v>105</v>
      </c>
      <c r="D158">
        <v>3</v>
      </c>
      <c r="E158">
        <v>2</v>
      </c>
      <c r="F158">
        <v>2.5</v>
      </c>
      <c r="G158">
        <v>8.34</v>
      </c>
      <c r="H158" t="str">
        <f t="shared" si="2"/>
        <v>8.0–8.5</v>
      </c>
      <c r="I158">
        <v>0</v>
      </c>
      <c r="J158">
        <v>0.7</v>
      </c>
    </row>
    <row r="159" spans="1:10" x14ac:dyDescent="0.35">
      <c r="A159">
        <v>309</v>
      </c>
      <c r="B159" t="str">
        <f>IF(Table1[[#This Row],[GRE Score]]&lt;=310,"300–310", IF(Table1[[#This Row],[GRE Score]]&lt;=320,"310–320", IF(Table1[[#This Row],[GRE Score]]&lt;=330,"320–330","330+")))</f>
        <v>300–310</v>
      </c>
      <c r="C159">
        <v>104</v>
      </c>
      <c r="D159">
        <v>2</v>
      </c>
      <c r="E159">
        <v>2</v>
      </c>
      <c r="F159">
        <v>2.5</v>
      </c>
      <c r="G159">
        <v>8.26</v>
      </c>
      <c r="H159" t="str">
        <f t="shared" si="2"/>
        <v>8.0–8.5</v>
      </c>
      <c r="I159">
        <v>0</v>
      </c>
      <c r="J159">
        <v>0.65</v>
      </c>
    </row>
    <row r="160" spans="1:10" x14ac:dyDescent="0.35">
      <c r="A160">
        <v>306</v>
      </c>
      <c r="B160" t="str">
        <f>IF(Table1[[#This Row],[GRE Score]]&lt;=310,"300–310", IF(Table1[[#This Row],[GRE Score]]&lt;=320,"310–320", IF(Table1[[#This Row],[GRE Score]]&lt;=330,"320–330","330+")))</f>
        <v>300–310</v>
      </c>
      <c r="C160">
        <v>106</v>
      </c>
      <c r="D160">
        <v>2</v>
      </c>
      <c r="E160">
        <v>2</v>
      </c>
      <c r="F160">
        <v>2.5</v>
      </c>
      <c r="G160">
        <v>8.14</v>
      </c>
      <c r="H160" t="str">
        <f t="shared" si="2"/>
        <v>8.0–8.5</v>
      </c>
      <c r="I160">
        <v>0</v>
      </c>
      <c r="J160">
        <v>0.61</v>
      </c>
    </row>
    <row r="161" spans="1:10" x14ac:dyDescent="0.35">
      <c r="A161">
        <v>297</v>
      </c>
      <c r="B161" t="str">
        <f>IF(Table1[[#This Row],[GRE Score]]&lt;=310,"300–310", IF(Table1[[#This Row],[GRE Score]]&lt;=320,"310–320", IF(Table1[[#This Row],[GRE Score]]&lt;=330,"320–330","330+")))</f>
        <v>300–310</v>
      </c>
      <c r="C161">
        <v>100</v>
      </c>
      <c r="D161">
        <v>1</v>
      </c>
      <c r="E161">
        <v>1.5</v>
      </c>
      <c r="F161">
        <v>2</v>
      </c>
      <c r="G161">
        <v>7.9</v>
      </c>
      <c r="H161" t="str">
        <f t="shared" si="2"/>
        <v>7.5–8.0</v>
      </c>
      <c r="I161">
        <v>0</v>
      </c>
      <c r="J161">
        <v>0.52</v>
      </c>
    </row>
    <row r="162" spans="1:10" x14ac:dyDescent="0.35">
      <c r="A162">
        <v>315</v>
      </c>
      <c r="B162" t="str">
        <f>IF(Table1[[#This Row],[GRE Score]]&lt;=310,"300–310", IF(Table1[[#This Row],[GRE Score]]&lt;=320,"310–320", IF(Table1[[#This Row],[GRE Score]]&lt;=330,"320–330","330+")))</f>
        <v>310–320</v>
      </c>
      <c r="C162">
        <v>103</v>
      </c>
      <c r="D162">
        <v>1</v>
      </c>
      <c r="E162">
        <v>1.5</v>
      </c>
      <c r="F162">
        <v>2</v>
      </c>
      <c r="G162">
        <v>7.86</v>
      </c>
      <c r="H162" t="str">
        <f t="shared" si="2"/>
        <v>7.5–8.0</v>
      </c>
      <c r="I162">
        <v>0</v>
      </c>
      <c r="J162">
        <v>0.56999999999999995</v>
      </c>
    </row>
    <row r="163" spans="1:10" x14ac:dyDescent="0.35">
      <c r="A163">
        <v>298</v>
      </c>
      <c r="B163" t="str">
        <f>IF(Table1[[#This Row],[GRE Score]]&lt;=310,"300–310", IF(Table1[[#This Row],[GRE Score]]&lt;=320,"310–320", IF(Table1[[#This Row],[GRE Score]]&lt;=330,"320–330","330+")))</f>
        <v>300–310</v>
      </c>
      <c r="C163">
        <v>99</v>
      </c>
      <c r="D163">
        <v>1</v>
      </c>
      <c r="E163">
        <v>1.5</v>
      </c>
      <c r="F163">
        <v>3</v>
      </c>
      <c r="G163">
        <v>7.46</v>
      </c>
      <c r="H163" t="str">
        <f t="shared" si="2"/>
        <v>7.5–8.0</v>
      </c>
      <c r="I163">
        <v>0</v>
      </c>
      <c r="J163">
        <v>0.53</v>
      </c>
    </row>
    <row r="164" spans="1:10" x14ac:dyDescent="0.35">
      <c r="A164">
        <v>318</v>
      </c>
      <c r="B164" t="str">
        <f>IF(Table1[[#This Row],[GRE Score]]&lt;=310,"300–310", IF(Table1[[#This Row],[GRE Score]]&lt;=320,"310–320", IF(Table1[[#This Row],[GRE Score]]&lt;=330,"320–330","330+")))</f>
        <v>310–320</v>
      </c>
      <c r="C164">
        <v>109</v>
      </c>
      <c r="D164">
        <v>3</v>
      </c>
      <c r="E164">
        <v>3</v>
      </c>
      <c r="F164">
        <v>3</v>
      </c>
      <c r="G164">
        <v>8.5</v>
      </c>
      <c r="H164" t="str">
        <f t="shared" si="2"/>
        <v>8.5–9.0</v>
      </c>
      <c r="I164">
        <v>0</v>
      </c>
      <c r="J164">
        <v>0.67</v>
      </c>
    </row>
    <row r="165" spans="1:10" x14ac:dyDescent="0.35">
      <c r="A165">
        <v>317</v>
      </c>
      <c r="B165" t="str">
        <f>IF(Table1[[#This Row],[GRE Score]]&lt;=310,"300–310", IF(Table1[[#This Row],[GRE Score]]&lt;=320,"310–320", IF(Table1[[#This Row],[GRE Score]]&lt;=330,"320–330","330+")))</f>
        <v>310–320</v>
      </c>
      <c r="C165">
        <v>105</v>
      </c>
      <c r="D165">
        <v>3</v>
      </c>
      <c r="E165">
        <v>3.5</v>
      </c>
      <c r="F165">
        <v>3</v>
      </c>
      <c r="G165">
        <v>8.56</v>
      </c>
      <c r="H165" t="str">
        <f t="shared" si="2"/>
        <v>8.5–9.0</v>
      </c>
      <c r="I165">
        <v>0</v>
      </c>
      <c r="J165">
        <v>0.68</v>
      </c>
    </row>
    <row r="166" spans="1:10" x14ac:dyDescent="0.35">
      <c r="A166">
        <v>329</v>
      </c>
      <c r="B166" t="str">
        <f>IF(Table1[[#This Row],[GRE Score]]&lt;=310,"300–310", IF(Table1[[#This Row],[GRE Score]]&lt;=320,"310–320", IF(Table1[[#This Row],[GRE Score]]&lt;=330,"320–330","330+")))</f>
        <v>320–330</v>
      </c>
      <c r="C166">
        <v>111</v>
      </c>
      <c r="D166">
        <v>4</v>
      </c>
      <c r="E166">
        <v>4.5</v>
      </c>
      <c r="F166">
        <v>4</v>
      </c>
      <c r="G166">
        <v>9.01</v>
      </c>
      <c r="H166" t="str">
        <f t="shared" si="2"/>
        <v>9.0+</v>
      </c>
      <c r="I166">
        <v>1</v>
      </c>
      <c r="J166">
        <v>0.81</v>
      </c>
    </row>
    <row r="167" spans="1:10" x14ac:dyDescent="0.35">
      <c r="A167">
        <v>322</v>
      </c>
      <c r="B167" t="str">
        <f>IF(Table1[[#This Row],[GRE Score]]&lt;=310,"300–310", IF(Table1[[#This Row],[GRE Score]]&lt;=320,"310–320", IF(Table1[[#This Row],[GRE Score]]&lt;=330,"320–330","330+")))</f>
        <v>320–330</v>
      </c>
      <c r="C167">
        <v>110</v>
      </c>
      <c r="D167">
        <v>5</v>
      </c>
      <c r="E167">
        <v>4.5</v>
      </c>
      <c r="F167">
        <v>4</v>
      </c>
      <c r="G167">
        <v>8.9700000000000006</v>
      </c>
      <c r="H167" t="str">
        <f t="shared" si="2"/>
        <v>8.5–9.0</v>
      </c>
      <c r="I167">
        <v>0</v>
      </c>
      <c r="J167">
        <v>0.78</v>
      </c>
    </row>
    <row r="168" spans="1:10" x14ac:dyDescent="0.35">
      <c r="A168">
        <v>302</v>
      </c>
      <c r="B168" t="str">
        <f>IF(Table1[[#This Row],[GRE Score]]&lt;=310,"300–310", IF(Table1[[#This Row],[GRE Score]]&lt;=320,"310–320", IF(Table1[[#This Row],[GRE Score]]&lt;=330,"320–330","330+")))</f>
        <v>300–310</v>
      </c>
      <c r="C168">
        <v>102</v>
      </c>
      <c r="D168">
        <v>3</v>
      </c>
      <c r="E168">
        <v>3.5</v>
      </c>
      <c r="F168">
        <v>5</v>
      </c>
      <c r="G168">
        <v>8.33</v>
      </c>
      <c r="H168" t="str">
        <f t="shared" si="2"/>
        <v>8.0–8.5</v>
      </c>
      <c r="I168">
        <v>0</v>
      </c>
      <c r="J168">
        <v>0.65</v>
      </c>
    </row>
    <row r="169" spans="1:10" x14ac:dyDescent="0.35">
      <c r="A169">
        <v>313</v>
      </c>
      <c r="B169" t="str">
        <f>IF(Table1[[#This Row],[GRE Score]]&lt;=310,"300–310", IF(Table1[[#This Row],[GRE Score]]&lt;=320,"310–320", IF(Table1[[#This Row],[GRE Score]]&lt;=330,"320–330","330+")))</f>
        <v>310–320</v>
      </c>
      <c r="C169">
        <v>102</v>
      </c>
      <c r="D169">
        <v>3</v>
      </c>
      <c r="E169">
        <v>2</v>
      </c>
      <c r="F169">
        <v>3</v>
      </c>
      <c r="G169">
        <v>8.27</v>
      </c>
      <c r="H169" t="str">
        <f t="shared" si="2"/>
        <v>8.0–8.5</v>
      </c>
      <c r="I169">
        <v>0</v>
      </c>
      <c r="J169">
        <v>0.64</v>
      </c>
    </row>
    <row r="170" spans="1:10" x14ac:dyDescent="0.35">
      <c r="A170">
        <v>293</v>
      </c>
      <c r="B170" t="str">
        <f>IF(Table1[[#This Row],[GRE Score]]&lt;=310,"300–310", IF(Table1[[#This Row],[GRE Score]]&lt;=320,"310–320", IF(Table1[[#This Row],[GRE Score]]&lt;=330,"320–330","330+")))</f>
        <v>300–310</v>
      </c>
      <c r="C170">
        <v>97</v>
      </c>
      <c r="D170">
        <v>2</v>
      </c>
      <c r="E170">
        <v>2</v>
      </c>
      <c r="F170">
        <v>4</v>
      </c>
      <c r="G170">
        <v>7.8</v>
      </c>
      <c r="H170" t="str">
        <f t="shared" si="2"/>
        <v>7.5–8.0</v>
      </c>
      <c r="I170">
        <v>1</v>
      </c>
      <c r="J170">
        <v>0.64</v>
      </c>
    </row>
    <row r="171" spans="1:10" x14ac:dyDescent="0.35">
      <c r="A171">
        <v>311</v>
      </c>
      <c r="B171" t="str">
        <f>IF(Table1[[#This Row],[GRE Score]]&lt;=310,"300–310", IF(Table1[[#This Row],[GRE Score]]&lt;=320,"310–320", IF(Table1[[#This Row],[GRE Score]]&lt;=330,"320–330","330+")))</f>
        <v>310–320</v>
      </c>
      <c r="C171">
        <v>99</v>
      </c>
      <c r="D171">
        <v>2</v>
      </c>
      <c r="E171">
        <v>2.5</v>
      </c>
      <c r="F171">
        <v>3</v>
      </c>
      <c r="G171">
        <v>7.98</v>
      </c>
      <c r="H171" t="str">
        <f t="shared" si="2"/>
        <v>7.5–8.0</v>
      </c>
      <c r="I171">
        <v>0</v>
      </c>
      <c r="J171">
        <v>0.65</v>
      </c>
    </row>
    <row r="172" spans="1:10" x14ac:dyDescent="0.35">
      <c r="A172">
        <v>312</v>
      </c>
      <c r="B172" t="str">
        <f>IF(Table1[[#This Row],[GRE Score]]&lt;=310,"300–310", IF(Table1[[#This Row],[GRE Score]]&lt;=320,"310–320", IF(Table1[[#This Row],[GRE Score]]&lt;=330,"320–330","330+")))</f>
        <v>310–320</v>
      </c>
      <c r="C172">
        <v>101</v>
      </c>
      <c r="D172">
        <v>2</v>
      </c>
      <c r="E172">
        <v>2.5</v>
      </c>
      <c r="F172">
        <v>3.5</v>
      </c>
      <c r="G172">
        <v>8.0399999999999991</v>
      </c>
      <c r="H172" t="str">
        <f t="shared" si="2"/>
        <v>8.0–8.5</v>
      </c>
      <c r="I172">
        <v>1</v>
      </c>
      <c r="J172">
        <v>0.68</v>
      </c>
    </row>
    <row r="173" spans="1:10" x14ac:dyDescent="0.35">
      <c r="A173">
        <v>334</v>
      </c>
      <c r="B173" t="str">
        <f>IF(Table1[[#This Row],[GRE Score]]&lt;=310,"300–310", IF(Table1[[#This Row],[GRE Score]]&lt;=320,"310–320", IF(Table1[[#This Row],[GRE Score]]&lt;=330,"320–330","330+")))</f>
        <v>330+</v>
      </c>
      <c r="C173">
        <v>117</v>
      </c>
      <c r="D173">
        <v>5</v>
      </c>
      <c r="E173">
        <v>4</v>
      </c>
      <c r="F173">
        <v>4.5</v>
      </c>
      <c r="G173">
        <v>9.07</v>
      </c>
      <c r="H173" t="str">
        <f t="shared" si="2"/>
        <v>9.0+</v>
      </c>
      <c r="I173">
        <v>1</v>
      </c>
      <c r="J173">
        <v>0.89</v>
      </c>
    </row>
    <row r="174" spans="1:10" x14ac:dyDescent="0.35">
      <c r="A174">
        <v>322</v>
      </c>
      <c r="B174" t="str">
        <f>IF(Table1[[#This Row],[GRE Score]]&lt;=310,"300–310", IF(Table1[[#This Row],[GRE Score]]&lt;=320,"310–320", IF(Table1[[#This Row],[GRE Score]]&lt;=330,"320–330","330+")))</f>
        <v>320–330</v>
      </c>
      <c r="C174">
        <v>110</v>
      </c>
      <c r="D174">
        <v>4</v>
      </c>
      <c r="E174">
        <v>4</v>
      </c>
      <c r="F174">
        <v>5</v>
      </c>
      <c r="G174">
        <v>9.1300000000000008</v>
      </c>
      <c r="H174" t="str">
        <f t="shared" si="2"/>
        <v>9.0+</v>
      </c>
      <c r="I174">
        <v>1</v>
      </c>
      <c r="J174">
        <v>0.86</v>
      </c>
    </row>
    <row r="175" spans="1:10" x14ac:dyDescent="0.35">
      <c r="A175">
        <v>323</v>
      </c>
      <c r="B175" t="str">
        <f>IF(Table1[[#This Row],[GRE Score]]&lt;=310,"300–310", IF(Table1[[#This Row],[GRE Score]]&lt;=320,"310–320", IF(Table1[[#This Row],[GRE Score]]&lt;=330,"320–330","330+")))</f>
        <v>320–330</v>
      </c>
      <c r="C175">
        <v>113</v>
      </c>
      <c r="D175">
        <v>4</v>
      </c>
      <c r="E175">
        <v>4</v>
      </c>
      <c r="F175">
        <v>4.5</v>
      </c>
      <c r="G175">
        <v>9.23</v>
      </c>
      <c r="H175" t="str">
        <f t="shared" si="2"/>
        <v>9.0+</v>
      </c>
      <c r="I175">
        <v>1</v>
      </c>
      <c r="J175">
        <v>0.89</v>
      </c>
    </row>
    <row r="176" spans="1:10" x14ac:dyDescent="0.35">
      <c r="A176">
        <v>321</v>
      </c>
      <c r="B176" t="str">
        <f>IF(Table1[[#This Row],[GRE Score]]&lt;=310,"300–310", IF(Table1[[#This Row],[GRE Score]]&lt;=320,"310–320", IF(Table1[[#This Row],[GRE Score]]&lt;=330,"320–330","330+")))</f>
        <v>320–330</v>
      </c>
      <c r="C176">
        <v>111</v>
      </c>
      <c r="D176">
        <v>4</v>
      </c>
      <c r="E176">
        <v>4</v>
      </c>
      <c r="F176">
        <v>4</v>
      </c>
      <c r="G176">
        <v>8.9700000000000006</v>
      </c>
      <c r="H176" t="str">
        <f t="shared" si="2"/>
        <v>8.5–9.0</v>
      </c>
      <c r="I176">
        <v>1</v>
      </c>
      <c r="J176">
        <v>0.87</v>
      </c>
    </row>
    <row r="177" spans="1:10" x14ac:dyDescent="0.35">
      <c r="A177">
        <v>320</v>
      </c>
      <c r="B177" t="str">
        <f>IF(Table1[[#This Row],[GRE Score]]&lt;=310,"300–310", IF(Table1[[#This Row],[GRE Score]]&lt;=320,"310–320", IF(Table1[[#This Row],[GRE Score]]&lt;=330,"320–330","330+")))</f>
        <v>310–320</v>
      </c>
      <c r="C177">
        <v>111</v>
      </c>
      <c r="D177">
        <v>4</v>
      </c>
      <c r="E177">
        <v>4.5</v>
      </c>
      <c r="F177">
        <v>3.5</v>
      </c>
      <c r="G177">
        <v>8.8699999999999992</v>
      </c>
      <c r="H177" t="str">
        <f t="shared" si="2"/>
        <v>8.5–9.0</v>
      </c>
      <c r="I177">
        <v>1</v>
      </c>
      <c r="J177">
        <v>0.85</v>
      </c>
    </row>
    <row r="178" spans="1:10" x14ac:dyDescent="0.35">
      <c r="A178">
        <v>329</v>
      </c>
      <c r="B178" t="str">
        <f>IF(Table1[[#This Row],[GRE Score]]&lt;=310,"300–310", IF(Table1[[#This Row],[GRE Score]]&lt;=320,"310–320", IF(Table1[[#This Row],[GRE Score]]&lt;=330,"320–330","330+")))</f>
        <v>320–330</v>
      </c>
      <c r="C178">
        <v>119</v>
      </c>
      <c r="D178">
        <v>4</v>
      </c>
      <c r="E178">
        <v>4.5</v>
      </c>
      <c r="F178">
        <v>4.5</v>
      </c>
      <c r="G178">
        <v>9.16</v>
      </c>
      <c r="H178" t="str">
        <f t="shared" si="2"/>
        <v>9.0+</v>
      </c>
      <c r="I178">
        <v>1</v>
      </c>
      <c r="J178">
        <v>0.9</v>
      </c>
    </row>
    <row r="179" spans="1:10" x14ac:dyDescent="0.35">
      <c r="A179">
        <v>319</v>
      </c>
      <c r="B179" t="str">
        <f>IF(Table1[[#This Row],[GRE Score]]&lt;=310,"300–310", IF(Table1[[#This Row],[GRE Score]]&lt;=320,"310–320", IF(Table1[[#This Row],[GRE Score]]&lt;=330,"320–330","330+")))</f>
        <v>310–320</v>
      </c>
      <c r="C179">
        <v>110</v>
      </c>
      <c r="D179">
        <v>3</v>
      </c>
      <c r="E179">
        <v>3.5</v>
      </c>
      <c r="F179">
        <v>3.5</v>
      </c>
      <c r="G179">
        <v>9.0399999999999991</v>
      </c>
      <c r="H179" t="str">
        <f t="shared" si="2"/>
        <v>9.0+</v>
      </c>
      <c r="I179">
        <v>0</v>
      </c>
      <c r="J179">
        <v>0.82</v>
      </c>
    </row>
    <row r="180" spans="1:10" x14ac:dyDescent="0.35">
      <c r="A180">
        <v>309</v>
      </c>
      <c r="B180" t="str">
        <f>IF(Table1[[#This Row],[GRE Score]]&lt;=310,"300–310", IF(Table1[[#This Row],[GRE Score]]&lt;=320,"310–320", IF(Table1[[#This Row],[GRE Score]]&lt;=330,"320–330","330+")))</f>
        <v>300–310</v>
      </c>
      <c r="C180">
        <v>108</v>
      </c>
      <c r="D180">
        <v>3</v>
      </c>
      <c r="E180">
        <v>2.5</v>
      </c>
      <c r="F180">
        <v>3</v>
      </c>
      <c r="G180">
        <v>8.1199999999999992</v>
      </c>
      <c r="H180" t="str">
        <f t="shared" si="2"/>
        <v>8.0–8.5</v>
      </c>
      <c r="I180">
        <v>0</v>
      </c>
      <c r="J180">
        <v>0.72</v>
      </c>
    </row>
    <row r="181" spans="1:10" x14ac:dyDescent="0.35">
      <c r="A181">
        <v>307</v>
      </c>
      <c r="B181" t="str">
        <f>IF(Table1[[#This Row],[GRE Score]]&lt;=310,"300–310", IF(Table1[[#This Row],[GRE Score]]&lt;=320,"310–320", IF(Table1[[#This Row],[GRE Score]]&lt;=330,"320–330","330+")))</f>
        <v>300–310</v>
      </c>
      <c r="C181">
        <v>102</v>
      </c>
      <c r="D181">
        <v>3</v>
      </c>
      <c r="E181">
        <v>3</v>
      </c>
      <c r="F181">
        <v>3</v>
      </c>
      <c r="G181">
        <v>8.27</v>
      </c>
      <c r="H181" t="str">
        <f t="shared" si="2"/>
        <v>8.0–8.5</v>
      </c>
      <c r="I181">
        <v>0</v>
      </c>
      <c r="J181">
        <v>0.73</v>
      </c>
    </row>
    <row r="182" spans="1:10" x14ac:dyDescent="0.35">
      <c r="A182">
        <v>300</v>
      </c>
      <c r="B182" t="str">
        <f>IF(Table1[[#This Row],[GRE Score]]&lt;=310,"300–310", IF(Table1[[#This Row],[GRE Score]]&lt;=320,"310–320", IF(Table1[[#This Row],[GRE Score]]&lt;=330,"320–330","330+")))</f>
        <v>300–310</v>
      </c>
      <c r="C182">
        <v>104</v>
      </c>
      <c r="D182">
        <v>3</v>
      </c>
      <c r="E182">
        <v>3.5</v>
      </c>
      <c r="F182">
        <v>3</v>
      </c>
      <c r="G182">
        <v>8.16</v>
      </c>
      <c r="H182" t="str">
        <f t="shared" si="2"/>
        <v>8.0–8.5</v>
      </c>
      <c r="I182">
        <v>0</v>
      </c>
      <c r="J182">
        <v>0.71</v>
      </c>
    </row>
    <row r="183" spans="1:10" x14ac:dyDescent="0.35">
      <c r="A183">
        <v>305</v>
      </c>
      <c r="B183" t="str">
        <f>IF(Table1[[#This Row],[GRE Score]]&lt;=310,"300–310", IF(Table1[[#This Row],[GRE Score]]&lt;=320,"310–320", IF(Table1[[#This Row],[GRE Score]]&lt;=330,"320–330","330+")))</f>
        <v>300–310</v>
      </c>
      <c r="C183">
        <v>107</v>
      </c>
      <c r="D183">
        <v>2</v>
      </c>
      <c r="E183">
        <v>2.5</v>
      </c>
      <c r="F183">
        <v>2.5</v>
      </c>
      <c r="G183">
        <v>8.42</v>
      </c>
      <c r="H183" t="str">
        <f t="shared" si="2"/>
        <v>8.0–8.5</v>
      </c>
      <c r="I183">
        <v>0</v>
      </c>
      <c r="J183">
        <v>0.71</v>
      </c>
    </row>
    <row r="184" spans="1:10" x14ac:dyDescent="0.35">
      <c r="A184">
        <v>299</v>
      </c>
      <c r="B184" t="str">
        <f>IF(Table1[[#This Row],[GRE Score]]&lt;=310,"300–310", IF(Table1[[#This Row],[GRE Score]]&lt;=320,"310–320", IF(Table1[[#This Row],[GRE Score]]&lt;=330,"320–330","330+")))</f>
        <v>300–310</v>
      </c>
      <c r="C184">
        <v>100</v>
      </c>
      <c r="D184">
        <v>2</v>
      </c>
      <c r="E184">
        <v>3</v>
      </c>
      <c r="F184">
        <v>3.5</v>
      </c>
      <c r="G184">
        <v>7.88</v>
      </c>
      <c r="H184" t="str">
        <f t="shared" si="2"/>
        <v>7.5–8.0</v>
      </c>
      <c r="I184">
        <v>0</v>
      </c>
      <c r="J184">
        <v>0.68</v>
      </c>
    </row>
    <row r="185" spans="1:10" x14ac:dyDescent="0.35">
      <c r="A185">
        <v>314</v>
      </c>
      <c r="B185" t="str">
        <f>IF(Table1[[#This Row],[GRE Score]]&lt;=310,"300–310", IF(Table1[[#This Row],[GRE Score]]&lt;=320,"310–320", IF(Table1[[#This Row],[GRE Score]]&lt;=330,"320–330","330+")))</f>
        <v>310–320</v>
      </c>
      <c r="C185">
        <v>110</v>
      </c>
      <c r="D185">
        <v>3</v>
      </c>
      <c r="E185">
        <v>4</v>
      </c>
      <c r="F185">
        <v>4</v>
      </c>
      <c r="G185">
        <v>8.8000000000000007</v>
      </c>
      <c r="H185" t="str">
        <f t="shared" si="2"/>
        <v>8.5–9.0</v>
      </c>
      <c r="I185">
        <v>0</v>
      </c>
      <c r="J185">
        <v>0.75</v>
      </c>
    </row>
    <row r="186" spans="1:10" x14ac:dyDescent="0.35">
      <c r="A186">
        <v>316</v>
      </c>
      <c r="B186" t="str">
        <f>IF(Table1[[#This Row],[GRE Score]]&lt;=310,"300–310", IF(Table1[[#This Row],[GRE Score]]&lt;=320,"310–320", IF(Table1[[#This Row],[GRE Score]]&lt;=330,"320–330","330+")))</f>
        <v>310–320</v>
      </c>
      <c r="C186">
        <v>106</v>
      </c>
      <c r="D186">
        <v>2</v>
      </c>
      <c r="E186">
        <v>2.5</v>
      </c>
      <c r="F186">
        <v>4</v>
      </c>
      <c r="G186">
        <v>8.32</v>
      </c>
      <c r="H186" t="str">
        <f t="shared" si="2"/>
        <v>8.0–8.5</v>
      </c>
      <c r="I186">
        <v>0</v>
      </c>
      <c r="J186">
        <v>0.72</v>
      </c>
    </row>
    <row r="187" spans="1:10" x14ac:dyDescent="0.35">
      <c r="A187">
        <v>327</v>
      </c>
      <c r="B187" t="str">
        <f>IF(Table1[[#This Row],[GRE Score]]&lt;=310,"300–310", IF(Table1[[#This Row],[GRE Score]]&lt;=320,"310–320", IF(Table1[[#This Row],[GRE Score]]&lt;=330,"320–330","330+")))</f>
        <v>320–330</v>
      </c>
      <c r="C187">
        <v>113</v>
      </c>
      <c r="D187">
        <v>4</v>
      </c>
      <c r="E187">
        <v>4.5</v>
      </c>
      <c r="F187">
        <v>4.5</v>
      </c>
      <c r="G187">
        <v>9.11</v>
      </c>
      <c r="H187" t="str">
        <f t="shared" si="2"/>
        <v>9.0+</v>
      </c>
      <c r="I187">
        <v>1</v>
      </c>
      <c r="J187">
        <v>0.89</v>
      </c>
    </row>
    <row r="188" spans="1:10" x14ac:dyDescent="0.35">
      <c r="A188">
        <v>317</v>
      </c>
      <c r="B188" t="str">
        <f>IF(Table1[[#This Row],[GRE Score]]&lt;=310,"300–310", IF(Table1[[#This Row],[GRE Score]]&lt;=320,"310–320", IF(Table1[[#This Row],[GRE Score]]&lt;=330,"320–330","330+")))</f>
        <v>310–320</v>
      </c>
      <c r="C188">
        <v>107</v>
      </c>
      <c r="D188">
        <v>3</v>
      </c>
      <c r="E188">
        <v>3.5</v>
      </c>
      <c r="F188">
        <v>3</v>
      </c>
      <c r="G188">
        <v>8.68</v>
      </c>
      <c r="H188" t="str">
        <f t="shared" si="2"/>
        <v>8.5–9.0</v>
      </c>
      <c r="I188">
        <v>1</v>
      </c>
      <c r="J188">
        <v>0.84</v>
      </c>
    </row>
    <row r="189" spans="1:10" x14ac:dyDescent="0.35">
      <c r="A189">
        <v>335</v>
      </c>
      <c r="B189" t="str">
        <f>IF(Table1[[#This Row],[GRE Score]]&lt;=310,"300–310", IF(Table1[[#This Row],[GRE Score]]&lt;=320,"310–320", IF(Table1[[#This Row],[GRE Score]]&lt;=330,"320–330","330+")))</f>
        <v>330+</v>
      </c>
      <c r="C189">
        <v>118</v>
      </c>
      <c r="D189">
        <v>5</v>
      </c>
      <c r="E189">
        <v>4.5</v>
      </c>
      <c r="F189">
        <v>3.5</v>
      </c>
      <c r="G189">
        <v>9.44</v>
      </c>
      <c r="H189" t="str">
        <f t="shared" si="2"/>
        <v>9.0+</v>
      </c>
      <c r="I189">
        <v>1</v>
      </c>
      <c r="J189">
        <v>0.93</v>
      </c>
    </row>
    <row r="190" spans="1:10" x14ac:dyDescent="0.35">
      <c r="A190">
        <v>331</v>
      </c>
      <c r="B190" t="str">
        <f>IF(Table1[[#This Row],[GRE Score]]&lt;=310,"300–310", IF(Table1[[#This Row],[GRE Score]]&lt;=320,"310–320", IF(Table1[[#This Row],[GRE Score]]&lt;=330,"320–330","330+")))</f>
        <v>330+</v>
      </c>
      <c r="C190">
        <v>115</v>
      </c>
      <c r="D190">
        <v>5</v>
      </c>
      <c r="E190">
        <v>4.5</v>
      </c>
      <c r="F190">
        <v>3.5</v>
      </c>
      <c r="G190">
        <v>9.36</v>
      </c>
      <c r="H190" t="str">
        <f t="shared" si="2"/>
        <v>9.0+</v>
      </c>
      <c r="I190">
        <v>1</v>
      </c>
      <c r="J190">
        <v>0.93</v>
      </c>
    </row>
    <row r="191" spans="1:10" x14ac:dyDescent="0.35">
      <c r="A191">
        <v>324</v>
      </c>
      <c r="B191" t="str">
        <f>IF(Table1[[#This Row],[GRE Score]]&lt;=310,"300–310", IF(Table1[[#This Row],[GRE Score]]&lt;=320,"310–320", IF(Table1[[#This Row],[GRE Score]]&lt;=330,"320–330","330+")))</f>
        <v>320–330</v>
      </c>
      <c r="C191">
        <v>112</v>
      </c>
      <c r="D191">
        <v>5</v>
      </c>
      <c r="E191">
        <v>5</v>
      </c>
      <c r="F191">
        <v>5</v>
      </c>
      <c r="G191">
        <v>9.08</v>
      </c>
      <c r="H191" t="str">
        <f t="shared" si="2"/>
        <v>9.0+</v>
      </c>
      <c r="I191">
        <v>1</v>
      </c>
      <c r="J191">
        <v>0.88</v>
      </c>
    </row>
    <row r="192" spans="1:10" x14ac:dyDescent="0.35">
      <c r="A192">
        <v>324</v>
      </c>
      <c r="B192" t="str">
        <f>IF(Table1[[#This Row],[GRE Score]]&lt;=310,"300–310", IF(Table1[[#This Row],[GRE Score]]&lt;=320,"310–320", IF(Table1[[#This Row],[GRE Score]]&lt;=330,"320–330","330+")))</f>
        <v>320–330</v>
      </c>
      <c r="C192">
        <v>111</v>
      </c>
      <c r="D192">
        <v>5</v>
      </c>
      <c r="E192">
        <v>4.5</v>
      </c>
      <c r="F192">
        <v>4</v>
      </c>
      <c r="G192">
        <v>9.16</v>
      </c>
      <c r="H192" t="str">
        <f t="shared" si="2"/>
        <v>9.0+</v>
      </c>
      <c r="I192">
        <v>1</v>
      </c>
      <c r="J192">
        <v>0.9</v>
      </c>
    </row>
    <row r="193" spans="1:10" x14ac:dyDescent="0.35">
      <c r="A193">
        <v>323</v>
      </c>
      <c r="B193" t="str">
        <f>IF(Table1[[#This Row],[GRE Score]]&lt;=310,"300–310", IF(Table1[[#This Row],[GRE Score]]&lt;=320,"310–320", IF(Table1[[#This Row],[GRE Score]]&lt;=330,"320–330","330+")))</f>
        <v>320–330</v>
      </c>
      <c r="C193">
        <v>110</v>
      </c>
      <c r="D193">
        <v>5</v>
      </c>
      <c r="E193">
        <v>4</v>
      </c>
      <c r="F193">
        <v>5</v>
      </c>
      <c r="G193">
        <v>8.98</v>
      </c>
      <c r="H193" t="str">
        <f t="shared" si="2"/>
        <v>8.5–9.0</v>
      </c>
      <c r="I193">
        <v>1</v>
      </c>
      <c r="J193">
        <v>0.87</v>
      </c>
    </row>
    <row r="194" spans="1:10" x14ac:dyDescent="0.35">
      <c r="A194">
        <v>322</v>
      </c>
      <c r="B194" t="str">
        <f>IF(Table1[[#This Row],[GRE Score]]&lt;=310,"300–310", IF(Table1[[#This Row],[GRE Score]]&lt;=320,"310–320", IF(Table1[[#This Row],[GRE Score]]&lt;=330,"320–330","330+")))</f>
        <v>320–330</v>
      </c>
      <c r="C194">
        <v>114</v>
      </c>
      <c r="D194">
        <v>5</v>
      </c>
      <c r="E194">
        <v>4.5</v>
      </c>
      <c r="F194">
        <v>4</v>
      </c>
      <c r="G194">
        <v>8.94</v>
      </c>
      <c r="H194" t="str">
        <f t="shared" ref="H194:H257" si="3">IF(G194&lt;8,"7.5–8.0",
IF(G194&lt;8.5,"8.0–8.5",
IF(G194&lt;9,"8.5–9.0","9.0+")))</f>
        <v>8.5–9.0</v>
      </c>
      <c r="I194">
        <v>1</v>
      </c>
      <c r="J194">
        <v>0.86</v>
      </c>
    </row>
    <row r="195" spans="1:10" x14ac:dyDescent="0.35">
      <c r="A195">
        <v>336</v>
      </c>
      <c r="B195" t="str">
        <f>IF(Table1[[#This Row],[GRE Score]]&lt;=310,"300–310", IF(Table1[[#This Row],[GRE Score]]&lt;=320,"310–320", IF(Table1[[#This Row],[GRE Score]]&lt;=330,"320–330","330+")))</f>
        <v>330+</v>
      </c>
      <c r="C195">
        <v>118</v>
      </c>
      <c r="D195">
        <v>5</v>
      </c>
      <c r="E195">
        <v>4.5</v>
      </c>
      <c r="F195">
        <v>5</v>
      </c>
      <c r="G195">
        <v>9.5299999999999994</v>
      </c>
      <c r="H195" t="str">
        <f t="shared" si="3"/>
        <v>9.0+</v>
      </c>
      <c r="I195">
        <v>1</v>
      </c>
      <c r="J195">
        <v>0.94</v>
      </c>
    </row>
    <row r="196" spans="1:10" x14ac:dyDescent="0.35">
      <c r="A196">
        <v>316</v>
      </c>
      <c r="B196" t="str">
        <f>IF(Table1[[#This Row],[GRE Score]]&lt;=310,"300–310", IF(Table1[[#This Row],[GRE Score]]&lt;=320,"310–320", IF(Table1[[#This Row],[GRE Score]]&lt;=330,"320–330","330+")))</f>
        <v>310–320</v>
      </c>
      <c r="C196">
        <v>109</v>
      </c>
      <c r="D196">
        <v>3</v>
      </c>
      <c r="E196">
        <v>3.5</v>
      </c>
      <c r="F196">
        <v>3</v>
      </c>
      <c r="G196">
        <v>8.76</v>
      </c>
      <c r="H196" t="str">
        <f t="shared" si="3"/>
        <v>8.5–9.0</v>
      </c>
      <c r="I196">
        <v>0</v>
      </c>
      <c r="J196">
        <v>0.77</v>
      </c>
    </row>
    <row r="197" spans="1:10" x14ac:dyDescent="0.35">
      <c r="A197">
        <v>307</v>
      </c>
      <c r="B197" t="str">
        <f>IF(Table1[[#This Row],[GRE Score]]&lt;=310,"300–310", IF(Table1[[#This Row],[GRE Score]]&lt;=320,"310–320", IF(Table1[[#This Row],[GRE Score]]&lt;=330,"320–330","330+")))</f>
        <v>300–310</v>
      </c>
      <c r="C197">
        <v>107</v>
      </c>
      <c r="D197">
        <v>2</v>
      </c>
      <c r="E197">
        <v>3</v>
      </c>
      <c r="F197">
        <v>3.5</v>
      </c>
      <c r="G197">
        <v>8.52</v>
      </c>
      <c r="H197" t="str">
        <f t="shared" si="3"/>
        <v>8.5–9.0</v>
      </c>
      <c r="I197">
        <v>1</v>
      </c>
      <c r="J197">
        <v>0.78</v>
      </c>
    </row>
    <row r="198" spans="1:10" x14ac:dyDescent="0.35">
      <c r="A198">
        <v>306</v>
      </c>
      <c r="B198" t="str">
        <f>IF(Table1[[#This Row],[GRE Score]]&lt;=310,"300–310", IF(Table1[[#This Row],[GRE Score]]&lt;=320,"310–320", IF(Table1[[#This Row],[GRE Score]]&lt;=330,"320–330","330+")))</f>
        <v>300–310</v>
      </c>
      <c r="C198">
        <v>105</v>
      </c>
      <c r="D198">
        <v>2</v>
      </c>
      <c r="E198">
        <v>3</v>
      </c>
      <c r="F198">
        <v>2.5</v>
      </c>
      <c r="G198">
        <v>8.26</v>
      </c>
      <c r="H198" t="str">
        <f t="shared" si="3"/>
        <v>8.0–8.5</v>
      </c>
      <c r="I198">
        <v>0</v>
      </c>
      <c r="J198">
        <v>0.73</v>
      </c>
    </row>
    <row r="199" spans="1:10" x14ac:dyDescent="0.35">
      <c r="A199">
        <v>310</v>
      </c>
      <c r="B199" t="str">
        <f>IF(Table1[[#This Row],[GRE Score]]&lt;=310,"300–310", IF(Table1[[#This Row],[GRE Score]]&lt;=320,"310–320", IF(Table1[[#This Row],[GRE Score]]&lt;=330,"320–330","330+")))</f>
        <v>300–310</v>
      </c>
      <c r="C199">
        <v>106</v>
      </c>
      <c r="D199">
        <v>2</v>
      </c>
      <c r="E199">
        <v>3.5</v>
      </c>
      <c r="F199">
        <v>2.5</v>
      </c>
      <c r="G199">
        <v>8.33</v>
      </c>
      <c r="H199" t="str">
        <f t="shared" si="3"/>
        <v>8.0–8.5</v>
      </c>
      <c r="I199">
        <v>0</v>
      </c>
      <c r="J199">
        <v>0.73</v>
      </c>
    </row>
    <row r="200" spans="1:10" x14ac:dyDescent="0.35">
      <c r="A200">
        <v>311</v>
      </c>
      <c r="B200" t="str">
        <f>IF(Table1[[#This Row],[GRE Score]]&lt;=310,"300–310", IF(Table1[[#This Row],[GRE Score]]&lt;=320,"310–320", IF(Table1[[#This Row],[GRE Score]]&lt;=330,"320–330","330+")))</f>
        <v>310–320</v>
      </c>
      <c r="C200">
        <v>104</v>
      </c>
      <c r="D200">
        <v>3</v>
      </c>
      <c r="E200">
        <v>4.5</v>
      </c>
      <c r="F200">
        <v>4.5</v>
      </c>
      <c r="G200">
        <v>8.43</v>
      </c>
      <c r="H200" t="str">
        <f t="shared" si="3"/>
        <v>8.0–8.5</v>
      </c>
      <c r="I200">
        <v>0</v>
      </c>
      <c r="J200">
        <v>0.7</v>
      </c>
    </row>
    <row r="201" spans="1:10" x14ac:dyDescent="0.35">
      <c r="A201">
        <v>313</v>
      </c>
      <c r="B201" t="str">
        <f>IF(Table1[[#This Row],[GRE Score]]&lt;=310,"300–310", IF(Table1[[#This Row],[GRE Score]]&lt;=320,"310–320", IF(Table1[[#This Row],[GRE Score]]&lt;=330,"320–330","330+")))</f>
        <v>310–320</v>
      </c>
      <c r="C201">
        <v>107</v>
      </c>
      <c r="D201">
        <v>3</v>
      </c>
      <c r="E201">
        <v>4</v>
      </c>
      <c r="F201">
        <v>4.5</v>
      </c>
      <c r="G201">
        <v>8.69</v>
      </c>
      <c r="H201" t="str">
        <f t="shared" si="3"/>
        <v>8.5–9.0</v>
      </c>
      <c r="I201">
        <v>0</v>
      </c>
      <c r="J201">
        <v>0.72</v>
      </c>
    </row>
    <row r="202" spans="1:10" x14ac:dyDescent="0.35">
      <c r="A202">
        <v>317</v>
      </c>
      <c r="B202" t="str">
        <f>IF(Table1[[#This Row],[GRE Score]]&lt;=310,"300–310", IF(Table1[[#This Row],[GRE Score]]&lt;=320,"310–320", IF(Table1[[#This Row],[GRE Score]]&lt;=330,"320–330","330+")))</f>
        <v>310–320</v>
      </c>
      <c r="C202">
        <v>103</v>
      </c>
      <c r="D202">
        <v>3</v>
      </c>
      <c r="E202">
        <v>2.5</v>
      </c>
      <c r="F202">
        <v>3</v>
      </c>
      <c r="G202">
        <v>8.5399999999999991</v>
      </c>
      <c r="H202" t="str">
        <f t="shared" si="3"/>
        <v>8.5–9.0</v>
      </c>
      <c r="I202">
        <v>1</v>
      </c>
      <c r="J202">
        <v>0.73</v>
      </c>
    </row>
    <row r="203" spans="1:10" x14ac:dyDescent="0.35">
      <c r="A203">
        <v>315</v>
      </c>
      <c r="B203" t="str">
        <f>IF(Table1[[#This Row],[GRE Score]]&lt;=310,"300–310", IF(Table1[[#This Row],[GRE Score]]&lt;=320,"310–320", IF(Table1[[#This Row],[GRE Score]]&lt;=330,"320–330","330+")))</f>
        <v>310–320</v>
      </c>
      <c r="C203">
        <v>110</v>
      </c>
      <c r="D203">
        <v>2</v>
      </c>
      <c r="E203">
        <v>3.5</v>
      </c>
      <c r="F203">
        <v>3</v>
      </c>
      <c r="G203">
        <v>8.4600000000000009</v>
      </c>
      <c r="H203" t="str">
        <f t="shared" si="3"/>
        <v>8.0–8.5</v>
      </c>
      <c r="I203">
        <v>1</v>
      </c>
      <c r="J203">
        <v>0.72</v>
      </c>
    </row>
    <row r="204" spans="1:10" x14ac:dyDescent="0.35">
      <c r="A204">
        <v>340</v>
      </c>
      <c r="B204" t="str">
        <f>IF(Table1[[#This Row],[GRE Score]]&lt;=310,"300–310", IF(Table1[[#This Row],[GRE Score]]&lt;=320,"310–320", IF(Table1[[#This Row],[GRE Score]]&lt;=330,"320–330","330+")))</f>
        <v>330+</v>
      </c>
      <c r="C204">
        <v>120</v>
      </c>
      <c r="D204">
        <v>5</v>
      </c>
      <c r="E204">
        <v>4.5</v>
      </c>
      <c r="F204">
        <v>4.5</v>
      </c>
      <c r="G204">
        <v>9.91</v>
      </c>
      <c r="H204" t="str">
        <f t="shared" si="3"/>
        <v>9.0+</v>
      </c>
      <c r="I204">
        <v>1</v>
      </c>
      <c r="J204">
        <v>0.97</v>
      </c>
    </row>
    <row r="205" spans="1:10" x14ac:dyDescent="0.35">
      <c r="A205">
        <v>334</v>
      </c>
      <c r="B205" t="str">
        <f>IF(Table1[[#This Row],[GRE Score]]&lt;=310,"300–310", IF(Table1[[#This Row],[GRE Score]]&lt;=320,"310–320", IF(Table1[[#This Row],[GRE Score]]&lt;=330,"320–330","330+")))</f>
        <v>330+</v>
      </c>
      <c r="C205">
        <v>120</v>
      </c>
      <c r="D205">
        <v>5</v>
      </c>
      <c r="E205">
        <v>4</v>
      </c>
      <c r="F205">
        <v>5</v>
      </c>
      <c r="G205">
        <v>9.8699999999999992</v>
      </c>
      <c r="H205" t="str">
        <f t="shared" si="3"/>
        <v>9.0+</v>
      </c>
      <c r="I205">
        <v>1</v>
      </c>
      <c r="J205">
        <v>0.97</v>
      </c>
    </row>
    <row r="206" spans="1:10" x14ac:dyDescent="0.35">
      <c r="A206">
        <v>298</v>
      </c>
      <c r="B206" t="str">
        <f>IF(Table1[[#This Row],[GRE Score]]&lt;=310,"300–310", IF(Table1[[#This Row],[GRE Score]]&lt;=320,"310–320", IF(Table1[[#This Row],[GRE Score]]&lt;=330,"320–330","330+")))</f>
        <v>300–310</v>
      </c>
      <c r="C206">
        <v>105</v>
      </c>
      <c r="D206">
        <v>3</v>
      </c>
      <c r="E206">
        <v>3.5</v>
      </c>
      <c r="F206">
        <v>4</v>
      </c>
      <c r="G206">
        <v>8.5399999999999991</v>
      </c>
      <c r="H206" t="str">
        <f t="shared" si="3"/>
        <v>8.5–9.0</v>
      </c>
      <c r="I206">
        <v>0</v>
      </c>
      <c r="J206">
        <v>0.69</v>
      </c>
    </row>
    <row r="207" spans="1:10" x14ac:dyDescent="0.35">
      <c r="A207">
        <v>295</v>
      </c>
      <c r="B207" t="str">
        <f>IF(Table1[[#This Row],[GRE Score]]&lt;=310,"300–310", IF(Table1[[#This Row],[GRE Score]]&lt;=320,"310–320", IF(Table1[[#This Row],[GRE Score]]&lt;=330,"320–330","330+")))</f>
        <v>300–310</v>
      </c>
      <c r="C207">
        <v>99</v>
      </c>
      <c r="D207">
        <v>2</v>
      </c>
      <c r="E207">
        <v>2.5</v>
      </c>
      <c r="F207">
        <v>3</v>
      </c>
      <c r="G207">
        <v>7.65</v>
      </c>
      <c r="H207" t="str">
        <f t="shared" si="3"/>
        <v>7.5–8.0</v>
      </c>
      <c r="I207">
        <v>0</v>
      </c>
      <c r="J207">
        <v>0.56999999999999995</v>
      </c>
    </row>
    <row r="208" spans="1:10" x14ac:dyDescent="0.35">
      <c r="A208">
        <v>315</v>
      </c>
      <c r="B208" t="str">
        <f>IF(Table1[[#This Row],[GRE Score]]&lt;=310,"300–310", IF(Table1[[#This Row],[GRE Score]]&lt;=320,"310–320", IF(Table1[[#This Row],[GRE Score]]&lt;=330,"320–330","330+")))</f>
        <v>310–320</v>
      </c>
      <c r="C208">
        <v>99</v>
      </c>
      <c r="D208">
        <v>2</v>
      </c>
      <c r="E208">
        <v>3.5</v>
      </c>
      <c r="F208">
        <v>3</v>
      </c>
      <c r="G208">
        <v>7.89</v>
      </c>
      <c r="H208" t="str">
        <f t="shared" si="3"/>
        <v>7.5–8.0</v>
      </c>
      <c r="I208">
        <v>0</v>
      </c>
      <c r="J208">
        <v>0.63</v>
      </c>
    </row>
    <row r="209" spans="1:10" x14ac:dyDescent="0.35">
      <c r="A209">
        <v>310</v>
      </c>
      <c r="B209" t="str">
        <f>IF(Table1[[#This Row],[GRE Score]]&lt;=310,"300–310", IF(Table1[[#This Row],[GRE Score]]&lt;=320,"310–320", IF(Table1[[#This Row],[GRE Score]]&lt;=330,"320–330","330+")))</f>
        <v>300–310</v>
      </c>
      <c r="C209">
        <v>102</v>
      </c>
      <c r="D209">
        <v>3</v>
      </c>
      <c r="E209">
        <v>3.5</v>
      </c>
      <c r="F209">
        <v>4</v>
      </c>
      <c r="G209">
        <v>8.02</v>
      </c>
      <c r="H209" t="str">
        <f t="shared" si="3"/>
        <v>8.0–8.5</v>
      </c>
      <c r="I209">
        <v>1</v>
      </c>
      <c r="J209">
        <v>0.66</v>
      </c>
    </row>
    <row r="210" spans="1:10" x14ac:dyDescent="0.35">
      <c r="A210">
        <v>305</v>
      </c>
      <c r="B210" t="str">
        <f>IF(Table1[[#This Row],[GRE Score]]&lt;=310,"300–310", IF(Table1[[#This Row],[GRE Score]]&lt;=320,"310–320", IF(Table1[[#This Row],[GRE Score]]&lt;=330,"320–330","330+")))</f>
        <v>300–310</v>
      </c>
      <c r="C210">
        <v>106</v>
      </c>
      <c r="D210">
        <v>2</v>
      </c>
      <c r="E210">
        <v>3</v>
      </c>
      <c r="F210">
        <v>3</v>
      </c>
      <c r="G210">
        <v>8.16</v>
      </c>
      <c r="H210" t="str">
        <f t="shared" si="3"/>
        <v>8.0–8.5</v>
      </c>
      <c r="I210">
        <v>0</v>
      </c>
      <c r="J210">
        <v>0.64</v>
      </c>
    </row>
    <row r="211" spans="1:10" x14ac:dyDescent="0.35">
      <c r="A211">
        <v>301</v>
      </c>
      <c r="B211" t="str">
        <f>IF(Table1[[#This Row],[GRE Score]]&lt;=310,"300–310", IF(Table1[[#This Row],[GRE Score]]&lt;=320,"310–320", IF(Table1[[#This Row],[GRE Score]]&lt;=330,"320–330","330+")))</f>
        <v>300–310</v>
      </c>
      <c r="C211">
        <v>104</v>
      </c>
      <c r="D211">
        <v>3</v>
      </c>
      <c r="E211">
        <v>3.5</v>
      </c>
      <c r="F211">
        <v>4</v>
      </c>
      <c r="G211">
        <v>8.1199999999999992</v>
      </c>
      <c r="H211" t="str">
        <f t="shared" si="3"/>
        <v>8.0–8.5</v>
      </c>
      <c r="I211">
        <v>1</v>
      </c>
      <c r="J211">
        <v>0.68</v>
      </c>
    </row>
    <row r="212" spans="1:10" x14ac:dyDescent="0.35">
      <c r="A212">
        <v>325</v>
      </c>
      <c r="B212" t="str">
        <f>IF(Table1[[#This Row],[GRE Score]]&lt;=310,"300–310", IF(Table1[[#This Row],[GRE Score]]&lt;=320,"310–320", IF(Table1[[#This Row],[GRE Score]]&lt;=330,"320–330","330+")))</f>
        <v>320–330</v>
      </c>
      <c r="C212">
        <v>108</v>
      </c>
      <c r="D212">
        <v>4</v>
      </c>
      <c r="E212">
        <v>4.5</v>
      </c>
      <c r="F212">
        <v>4</v>
      </c>
      <c r="G212">
        <v>9.06</v>
      </c>
      <c r="H212" t="str">
        <f t="shared" si="3"/>
        <v>9.0+</v>
      </c>
      <c r="I212">
        <v>1</v>
      </c>
      <c r="J212">
        <v>0.79</v>
      </c>
    </row>
    <row r="213" spans="1:10" x14ac:dyDescent="0.35">
      <c r="A213">
        <v>328</v>
      </c>
      <c r="B213" t="str">
        <f>IF(Table1[[#This Row],[GRE Score]]&lt;=310,"300–310", IF(Table1[[#This Row],[GRE Score]]&lt;=320,"310–320", IF(Table1[[#This Row],[GRE Score]]&lt;=330,"320–330","330+")))</f>
        <v>320–330</v>
      </c>
      <c r="C213">
        <v>110</v>
      </c>
      <c r="D213">
        <v>4</v>
      </c>
      <c r="E213">
        <v>5</v>
      </c>
      <c r="F213">
        <v>4</v>
      </c>
      <c r="G213">
        <v>9.14</v>
      </c>
      <c r="H213" t="str">
        <f t="shared" si="3"/>
        <v>9.0+</v>
      </c>
      <c r="I213">
        <v>1</v>
      </c>
      <c r="J213">
        <v>0.82</v>
      </c>
    </row>
    <row r="214" spans="1:10" x14ac:dyDescent="0.35">
      <c r="A214">
        <v>338</v>
      </c>
      <c r="B214" t="str">
        <f>IF(Table1[[#This Row],[GRE Score]]&lt;=310,"300–310", IF(Table1[[#This Row],[GRE Score]]&lt;=320,"310–320", IF(Table1[[#This Row],[GRE Score]]&lt;=330,"320–330","330+")))</f>
        <v>330+</v>
      </c>
      <c r="C214">
        <v>120</v>
      </c>
      <c r="D214">
        <v>4</v>
      </c>
      <c r="E214">
        <v>5</v>
      </c>
      <c r="F214">
        <v>5</v>
      </c>
      <c r="G214">
        <v>9.66</v>
      </c>
      <c r="H214" t="str">
        <f t="shared" si="3"/>
        <v>9.0+</v>
      </c>
      <c r="I214">
        <v>1</v>
      </c>
      <c r="J214">
        <v>0.95</v>
      </c>
    </row>
    <row r="215" spans="1:10" x14ac:dyDescent="0.35">
      <c r="A215">
        <v>333</v>
      </c>
      <c r="B215" t="str">
        <f>IF(Table1[[#This Row],[GRE Score]]&lt;=310,"300–310", IF(Table1[[#This Row],[GRE Score]]&lt;=320,"310–320", IF(Table1[[#This Row],[GRE Score]]&lt;=330,"320–330","330+")))</f>
        <v>330+</v>
      </c>
      <c r="C215">
        <v>119</v>
      </c>
      <c r="D215">
        <v>5</v>
      </c>
      <c r="E215">
        <v>5</v>
      </c>
      <c r="F215">
        <v>4.5</v>
      </c>
      <c r="G215">
        <v>9.7799999999999994</v>
      </c>
      <c r="H215" t="str">
        <f t="shared" si="3"/>
        <v>9.0+</v>
      </c>
      <c r="I215">
        <v>1</v>
      </c>
      <c r="J215">
        <v>0.96</v>
      </c>
    </row>
    <row r="216" spans="1:10" x14ac:dyDescent="0.35">
      <c r="A216">
        <v>331</v>
      </c>
      <c r="B216" t="str">
        <f>IF(Table1[[#This Row],[GRE Score]]&lt;=310,"300–310", IF(Table1[[#This Row],[GRE Score]]&lt;=320,"310–320", IF(Table1[[#This Row],[GRE Score]]&lt;=330,"320–330","330+")))</f>
        <v>330+</v>
      </c>
      <c r="C216">
        <v>117</v>
      </c>
      <c r="D216">
        <v>4</v>
      </c>
      <c r="E216">
        <v>4.5</v>
      </c>
      <c r="F216">
        <v>5</v>
      </c>
      <c r="G216">
        <v>9.42</v>
      </c>
      <c r="H216" t="str">
        <f t="shared" si="3"/>
        <v>9.0+</v>
      </c>
      <c r="I216">
        <v>1</v>
      </c>
      <c r="J216">
        <v>0.94</v>
      </c>
    </row>
    <row r="217" spans="1:10" x14ac:dyDescent="0.35">
      <c r="A217">
        <v>330</v>
      </c>
      <c r="B217" t="str">
        <f>IF(Table1[[#This Row],[GRE Score]]&lt;=310,"300–310", IF(Table1[[#This Row],[GRE Score]]&lt;=320,"310–320", IF(Table1[[#This Row],[GRE Score]]&lt;=330,"320–330","330+")))</f>
        <v>320–330</v>
      </c>
      <c r="C217">
        <v>116</v>
      </c>
      <c r="D217">
        <v>5</v>
      </c>
      <c r="E217">
        <v>5</v>
      </c>
      <c r="F217">
        <v>4.5</v>
      </c>
      <c r="G217">
        <v>9.36</v>
      </c>
      <c r="H217" t="str">
        <f t="shared" si="3"/>
        <v>9.0+</v>
      </c>
      <c r="I217">
        <v>1</v>
      </c>
      <c r="J217">
        <v>0.93</v>
      </c>
    </row>
    <row r="218" spans="1:10" x14ac:dyDescent="0.35">
      <c r="A218">
        <v>322</v>
      </c>
      <c r="B218" t="str">
        <f>IF(Table1[[#This Row],[GRE Score]]&lt;=310,"300–310", IF(Table1[[#This Row],[GRE Score]]&lt;=320,"310–320", IF(Table1[[#This Row],[GRE Score]]&lt;=330,"320–330","330+")))</f>
        <v>320–330</v>
      </c>
      <c r="C218">
        <v>112</v>
      </c>
      <c r="D218">
        <v>4</v>
      </c>
      <c r="E218">
        <v>4.5</v>
      </c>
      <c r="F218">
        <v>4.5</v>
      </c>
      <c r="G218">
        <v>9.26</v>
      </c>
      <c r="H218" t="str">
        <f t="shared" si="3"/>
        <v>9.0+</v>
      </c>
      <c r="I218">
        <v>1</v>
      </c>
      <c r="J218">
        <v>0.91</v>
      </c>
    </row>
    <row r="219" spans="1:10" x14ac:dyDescent="0.35">
      <c r="A219">
        <v>321</v>
      </c>
      <c r="B219" t="str">
        <f>IF(Table1[[#This Row],[GRE Score]]&lt;=310,"300–310", IF(Table1[[#This Row],[GRE Score]]&lt;=320,"310–320", IF(Table1[[#This Row],[GRE Score]]&lt;=330,"320–330","330+")))</f>
        <v>320–330</v>
      </c>
      <c r="C219">
        <v>109</v>
      </c>
      <c r="D219">
        <v>4</v>
      </c>
      <c r="E219">
        <v>4</v>
      </c>
      <c r="F219">
        <v>4</v>
      </c>
      <c r="G219">
        <v>9.1300000000000008</v>
      </c>
      <c r="H219" t="str">
        <f t="shared" si="3"/>
        <v>9.0+</v>
      </c>
      <c r="I219">
        <v>1</v>
      </c>
      <c r="J219">
        <v>0.85</v>
      </c>
    </row>
    <row r="220" spans="1:10" x14ac:dyDescent="0.35">
      <c r="A220">
        <v>324</v>
      </c>
      <c r="B220" t="str">
        <f>IF(Table1[[#This Row],[GRE Score]]&lt;=310,"300–310", IF(Table1[[#This Row],[GRE Score]]&lt;=320,"310–320", IF(Table1[[#This Row],[GRE Score]]&lt;=330,"320–330","330+")))</f>
        <v>320–330</v>
      </c>
      <c r="C220">
        <v>110</v>
      </c>
      <c r="D220">
        <v>4</v>
      </c>
      <c r="E220">
        <v>3</v>
      </c>
      <c r="F220">
        <v>3.5</v>
      </c>
      <c r="G220">
        <v>8.9700000000000006</v>
      </c>
      <c r="H220" t="str">
        <f t="shared" si="3"/>
        <v>8.5–9.0</v>
      </c>
      <c r="I220">
        <v>1</v>
      </c>
      <c r="J220">
        <v>0.84</v>
      </c>
    </row>
    <row r="221" spans="1:10" x14ac:dyDescent="0.35">
      <c r="A221">
        <v>312</v>
      </c>
      <c r="B221" t="str">
        <f>IF(Table1[[#This Row],[GRE Score]]&lt;=310,"300–310", IF(Table1[[#This Row],[GRE Score]]&lt;=320,"310–320", IF(Table1[[#This Row],[GRE Score]]&lt;=330,"320–330","330+")))</f>
        <v>310–320</v>
      </c>
      <c r="C221">
        <v>104</v>
      </c>
      <c r="D221">
        <v>3</v>
      </c>
      <c r="E221">
        <v>3.5</v>
      </c>
      <c r="F221">
        <v>3.5</v>
      </c>
      <c r="G221">
        <v>8.42</v>
      </c>
      <c r="H221" t="str">
        <f t="shared" si="3"/>
        <v>8.0–8.5</v>
      </c>
      <c r="I221">
        <v>0</v>
      </c>
      <c r="J221">
        <v>0.74</v>
      </c>
    </row>
    <row r="222" spans="1:10" x14ac:dyDescent="0.35">
      <c r="A222">
        <v>313</v>
      </c>
      <c r="B222" t="str">
        <f>IF(Table1[[#This Row],[GRE Score]]&lt;=310,"300–310", IF(Table1[[#This Row],[GRE Score]]&lt;=320,"310–320", IF(Table1[[#This Row],[GRE Score]]&lt;=330,"320–330","330+")))</f>
        <v>310–320</v>
      </c>
      <c r="C222">
        <v>103</v>
      </c>
      <c r="D222">
        <v>3</v>
      </c>
      <c r="E222">
        <v>4</v>
      </c>
      <c r="F222">
        <v>4</v>
      </c>
      <c r="G222">
        <v>8.75</v>
      </c>
      <c r="H222" t="str">
        <f t="shared" si="3"/>
        <v>8.5–9.0</v>
      </c>
      <c r="I222">
        <v>0</v>
      </c>
      <c r="J222">
        <v>0.76</v>
      </c>
    </row>
    <row r="223" spans="1:10" x14ac:dyDescent="0.35">
      <c r="A223">
        <v>316</v>
      </c>
      <c r="B223" t="str">
        <f>IF(Table1[[#This Row],[GRE Score]]&lt;=310,"300–310", IF(Table1[[#This Row],[GRE Score]]&lt;=320,"310–320", IF(Table1[[#This Row],[GRE Score]]&lt;=330,"320–330","330+")))</f>
        <v>310–320</v>
      </c>
      <c r="C223">
        <v>110</v>
      </c>
      <c r="D223">
        <v>3</v>
      </c>
      <c r="E223">
        <v>3.5</v>
      </c>
      <c r="F223">
        <v>4</v>
      </c>
      <c r="G223">
        <v>8.56</v>
      </c>
      <c r="H223" t="str">
        <f t="shared" si="3"/>
        <v>8.5–9.0</v>
      </c>
      <c r="I223">
        <v>0</v>
      </c>
      <c r="J223">
        <v>0.75</v>
      </c>
    </row>
    <row r="224" spans="1:10" x14ac:dyDescent="0.35">
      <c r="A224">
        <v>324</v>
      </c>
      <c r="B224" t="str">
        <f>IF(Table1[[#This Row],[GRE Score]]&lt;=310,"300–310", IF(Table1[[#This Row],[GRE Score]]&lt;=320,"310–320", IF(Table1[[#This Row],[GRE Score]]&lt;=330,"320–330","330+")))</f>
        <v>320–330</v>
      </c>
      <c r="C224">
        <v>113</v>
      </c>
      <c r="D224">
        <v>4</v>
      </c>
      <c r="E224">
        <v>4.5</v>
      </c>
      <c r="F224">
        <v>4</v>
      </c>
      <c r="G224">
        <v>8.7899999999999991</v>
      </c>
      <c r="H224" t="str">
        <f t="shared" si="3"/>
        <v>8.5–9.0</v>
      </c>
      <c r="I224">
        <v>0</v>
      </c>
      <c r="J224">
        <v>0.76</v>
      </c>
    </row>
    <row r="225" spans="1:10" x14ac:dyDescent="0.35">
      <c r="A225">
        <v>308</v>
      </c>
      <c r="B225" t="str">
        <f>IF(Table1[[#This Row],[GRE Score]]&lt;=310,"300–310", IF(Table1[[#This Row],[GRE Score]]&lt;=320,"310–320", IF(Table1[[#This Row],[GRE Score]]&lt;=330,"320–330","330+")))</f>
        <v>300–310</v>
      </c>
      <c r="C225">
        <v>109</v>
      </c>
      <c r="D225">
        <v>2</v>
      </c>
      <c r="E225">
        <v>3</v>
      </c>
      <c r="F225">
        <v>4</v>
      </c>
      <c r="G225">
        <v>8.4499999999999993</v>
      </c>
      <c r="H225" t="str">
        <f t="shared" si="3"/>
        <v>8.0–8.5</v>
      </c>
      <c r="I225">
        <v>0</v>
      </c>
      <c r="J225">
        <v>0.71</v>
      </c>
    </row>
    <row r="226" spans="1:10" x14ac:dyDescent="0.35">
      <c r="A226">
        <v>305</v>
      </c>
      <c r="B226" t="str">
        <f>IF(Table1[[#This Row],[GRE Score]]&lt;=310,"300–310", IF(Table1[[#This Row],[GRE Score]]&lt;=320,"310–320", IF(Table1[[#This Row],[GRE Score]]&lt;=330,"320–330","330+")))</f>
        <v>300–310</v>
      </c>
      <c r="C226">
        <v>105</v>
      </c>
      <c r="D226">
        <v>2</v>
      </c>
      <c r="E226">
        <v>3</v>
      </c>
      <c r="F226">
        <v>2</v>
      </c>
      <c r="G226">
        <v>8.23</v>
      </c>
      <c r="H226" t="str">
        <f t="shared" si="3"/>
        <v>8.0–8.5</v>
      </c>
      <c r="I226">
        <v>0</v>
      </c>
      <c r="J226">
        <v>0.67</v>
      </c>
    </row>
    <row r="227" spans="1:10" x14ac:dyDescent="0.35">
      <c r="A227">
        <v>296</v>
      </c>
      <c r="B227" t="str">
        <f>IF(Table1[[#This Row],[GRE Score]]&lt;=310,"300–310", IF(Table1[[#This Row],[GRE Score]]&lt;=320,"310–320", IF(Table1[[#This Row],[GRE Score]]&lt;=330,"320–330","330+")))</f>
        <v>300–310</v>
      </c>
      <c r="C227">
        <v>99</v>
      </c>
      <c r="D227">
        <v>2</v>
      </c>
      <c r="E227">
        <v>2.5</v>
      </c>
      <c r="F227">
        <v>2.5</v>
      </c>
      <c r="G227">
        <v>8.0299999999999994</v>
      </c>
      <c r="H227" t="str">
        <f t="shared" si="3"/>
        <v>8.0–8.5</v>
      </c>
      <c r="I227">
        <v>0</v>
      </c>
      <c r="J227">
        <v>0.61</v>
      </c>
    </row>
    <row r="228" spans="1:10" x14ac:dyDescent="0.35">
      <c r="A228">
        <v>306</v>
      </c>
      <c r="B228" t="str">
        <f>IF(Table1[[#This Row],[GRE Score]]&lt;=310,"300–310", IF(Table1[[#This Row],[GRE Score]]&lt;=320,"310–320", IF(Table1[[#This Row],[GRE Score]]&lt;=330,"320–330","330+")))</f>
        <v>300–310</v>
      </c>
      <c r="C228">
        <v>110</v>
      </c>
      <c r="D228">
        <v>2</v>
      </c>
      <c r="E228">
        <v>3.5</v>
      </c>
      <c r="F228">
        <v>4</v>
      </c>
      <c r="G228">
        <v>8.4499999999999993</v>
      </c>
      <c r="H228" t="str">
        <f t="shared" si="3"/>
        <v>8.0–8.5</v>
      </c>
      <c r="I228">
        <v>0</v>
      </c>
      <c r="J228">
        <v>0.63</v>
      </c>
    </row>
    <row r="229" spans="1:10" x14ac:dyDescent="0.35">
      <c r="A229">
        <v>312</v>
      </c>
      <c r="B229" t="str">
        <f>IF(Table1[[#This Row],[GRE Score]]&lt;=310,"300–310", IF(Table1[[#This Row],[GRE Score]]&lt;=320,"310–320", IF(Table1[[#This Row],[GRE Score]]&lt;=330,"320–330","330+")))</f>
        <v>310–320</v>
      </c>
      <c r="C229">
        <v>110</v>
      </c>
      <c r="D229">
        <v>2</v>
      </c>
      <c r="E229">
        <v>3.5</v>
      </c>
      <c r="F229">
        <v>3</v>
      </c>
      <c r="G229">
        <v>8.5299999999999994</v>
      </c>
      <c r="H229" t="str">
        <f t="shared" si="3"/>
        <v>8.5–9.0</v>
      </c>
      <c r="I229">
        <v>0</v>
      </c>
      <c r="J229">
        <v>0.64</v>
      </c>
    </row>
    <row r="230" spans="1:10" x14ac:dyDescent="0.35">
      <c r="A230">
        <v>318</v>
      </c>
      <c r="B230" t="str">
        <f>IF(Table1[[#This Row],[GRE Score]]&lt;=310,"300–310", IF(Table1[[#This Row],[GRE Score]]&lt;=320,"310–320", IF(Table1[[#This Row],[GRE Score]]&lt;=330,"320–330","330+")))</f>
        <v>310–320</v>
      </c>
      <c r="C230">
        <v>112</v>
      </c>
      <c r="D230">
        <v>3</v>
      </c>
      <c r="E230">
        <v>4</v>
      </c>
      <c r="F230">
        <v>3.5</v>
      </c>
      <c r="G230">
        <v>8.67</v>
      </c>
      <c r="H230" t="str">
        <f t="shared" si="3"/>
        <v>8.5–9.0</v>
      </c>
      <c r="I230">
        <v>0</v>
      </c>
      <c r="J230">
        <v>0.71</v>
      </c>
    </row>
    <row r="231" spans="1:10" x14ac:dyDescent="0.35">
      <c r="A231">
        <v>324</v>
      </c>
      <c r="B231" t="str">
        <f>IF(Table1[[#This Row],[GRE Score]]&lt;=310,"300–310", IF(Table1[[#This Row],[GRE Score]]&lt;=320,"310–320", IF(Table1[[#This Row],[GRE Score]]&lt;=330,"320–330","330+")))</f>
        <v>320–330</v>
      </c>
      <c r="C231">
        <v>111</v>
      </c>
      <c r="D231">
        <v>4</v>
      </c>
      <c r="E231">
        <v>3</v>
      </c>
      <c r="F231">
        <v>3</v>
      </c>
      <c r="G231">
        <v>9.01</v>
      </c>
      <c r="H231" t="str">
        <f t="shared" si="3"/>
        <v>9.0+</v>
      </c>
      <c r="I231">
        <v>1</v>
      </c>
      <c r="J231">
        <v>0.82</v>
      </c>
    </row>
    <row r="232" spans="1:10" x14ac:dyDescent="0.35">
      <c r="A232">
        <v>313</v>
      </c>
      <c r="B232" t="str">
        <f>IF(Table1[[#This Row],[GRE Score]]&lt;=310,"300–310", IF(Table1[[#This Row],[GRE Score]]&lt;=320,"310–320", IF(Table1[[#This Row],[GRE Score]]&lt;=330,"320–330","330+")))</f>
        <v>310–320</v>
      </c>
      <c r="C232">
        <v>104</v>
      </c>
      <c r="D232">
        <v>3</v>
      </c>
      <c r="E232">
        <v>4</v>
      </c>
      <c r="F232">
        <v>4.5</v>
      </c>
      <c r="G232">
        <v>8.65</v>
      </c>
      <c r="H232" t="str">
        <f t="shared" si="3"/>
        <v>8.5–9.0</v>
      </c>
      <c r="I232">
        <v>0</v>
      </c>
      <c r="J232">
        <v>0.73</v>
      </c>
    </row>
    <row r="233" spans="1:10" x14ac:dyDescent="0.35">
      <c r="A233">
        <v>319</v>
      </c>
      <c r="B233" t="str">
        <f>IF(Table1[[#This Row],[GRE Score]]&lt;=310,"300–310", IF(Table1[[#This Row],[GRE Score]]&lt;=320,"310–320", IF(Table1[[#This Row],[GRE Score]]&lt;=330,"320–330","330+")))</f>
        <v>310–320</v>
      </c>
      <c r="C233">
        <v>106</v>
      </c>
      <c r="D233">
        <v>3</v>
      </c>
      <c r="E233">
        <v>3.5</v>
      </c>
      <c r="F233">
        <v>2.5</v>
      </c>
      <c r="G233">
        <v>8.33</v>
      </c>
      <c r="H233" t="str">
        <f t="shared" si="3"/>
        <v>8.0–8.5</v>
      </c>
      <c r="I233">
        <v>1</v>
      </c>
      <c r="J233">
        <v>0.74</v>
      </c>
    </row>
    <row r="234" spans="1:10" x14ac:dyDescent="0.35">
      <c r="A234">
        <v>312</v>
      </c>
      <c r="B234" t="str">
        <f>IF(Table1[[#This Row],[GRE Score]]&lt;=310,"300–310", IF(Table1[[#This Row],[GRE Score]]&lt;=320,"310–320", IF(Table1[[#This Row],[GRE Score]]&lt;=330,"320–330","330+")))</f>
        <v>310–320</v>
      </c>
      <c r="C234">
        <v>107</v>
      </c>
      <c r="D234">
        <v>2</v>
      </c>
      <c r="E234">
        <v>2.5</v>
      </c>
      <c r="F234">
        <v>3.5</v>
      </c>
      <c r="G234">
        <v>8.27</v>
      </c>
      <c r="H234" t="str">
        <f t="shared" si="3"/>
        <v>8.0–8.5</v>
      </c>
      <c r="I234">
        <v>0</v>
      </c>
      <c r="J234">
        <v>0.69</v>
      </c>
    </row>
    <row r="235" spans="1:10" x14ac:dyDescent="0.35">
      <c r="A235">
        <v>304</v>
      </c>
      <c r="B235" t="str">
        <f>IF(Table1[[#This Row],[GRE Score]]&lt;=310,"300–310", IF(Table1[[#This Row],[GRE Score]]&lt;=320,"310–320", IF(Table1[[#This Row],[GRE Score]]&lt;=330,"320–330","330+")))</f>
        <v>300–310</v>
      </c>
      <c r="C235">
        <v>100</v>
      </c>
      <c r="D235">
        <v>2</v>
      </c>
      <c r="E235">
        <v>2.5</v>
      </c>
      <c r="F235">
        <v>3.5</v>
      </c>
      <c r="G235">
        <v>8.07</v>
      </c>
      <c r="H235" t="str">
        <f t="shared" si="3"/>
        <v>8.0–8.5</v>
      </c>
      <c r="I235">
        <v>0</v>
      </c>
      <c r="J235">
        <v>0.64</v>
      </c>
    </row>
    <row r="236" spans="1:10" x14ac:dyDescent="0.35">
      <c r="A236">
        <v>330</v>
      </c>
      <c r="B236" t="str">
        <f>IF(Table1[[#This Row],[GRE Score]]&lt;=310,"300–310", IF(Table1[[#This Row],[GRE Score]]&lt;=320,"310–320", IF(Table1[[#This Row],[GRE Score]]&lt;=330,"320–330","330+")))</f>
        <v>320–330</v>
      </c>
      <c r="C236">
        <v>113</v>
      </c>
      <c r="D236">
        <v>5</v>
      </c>
      <c r="E236">
        <v>5</v>
      </c>
      <c r="F236">
        <v>4</v>
      </c>
      <c r="G236">
        <v>9.31</v>
      </c>
      <c r="H236" t="str">
        <f t="shared" si="3"/>
        <v>9.0+</v>
      </c>
      <c r="I236">
        <v>1</v>
      </c>
      <c r="J236">
        <v>0.91</v>
      </c>
    </row>
    <row r="237" spans="1:10" x14ac:dyDescent="0.35">
      <c r="A237">
        <v>326</v>
      </c>
      <c r="B237" t="str">
        <f>IF(Table1[[#This Row],[GRE Score]]&lt;=310,"300–310", IF(Table1[[#This Row],[GRE Score]]&lt;=320,"310–320", IF(Table1[[#This Row],[GRE Score]]&lt;=330,"320–330","330+")))</f>
        <v>320–330</v>
      </c>
      <c r="C237">
        <v>111</v>
      </c>
      <c r="D237">
        <v>5</v>
      </c>
      <c r="E237">
        <v>4.5</v>
      </c>
      <c r="F237">
        <v>4</v>
      </c>
      <c r="G237">
        <v>9.23</v>
      </c>
      <c r="H237" t="str">
        <f t="shared" si="3"/>
        <v>9.0+</v>
      </c>
      <c r="I237">
        <v>1</v>
      </c>
      <c r="J237">
        <v>0.88</v>
      </c>
    </row>
    <row r="238" spans="1:10" x14ac:dyDescent="0.35">
      <c r="A238">
        <v>325</v>
      </c>
      <c r="B238" t="str">
        <f>IF(Table1[[#This Row],[GRE Score]]&lt;=310,"300–310", IF(Table1[[#This Row],[GRE Score]]&lt;=320,"310–320", IF(Table1[[#This Row],[GRE Score]]&lt;=330,"320–330","330+")))</f>
        <v>320–330</v>
      </c>
      <c r="C238">
        <v>112</v>
      </c>
      <c r="D238">
        <v>4</v>
      </c>
      <c r="E238">
        <v>4</v>
      </c>
      <c r="F238">
        <v>4.5</v>
      </c>
      <c r="G238">
        <v>9.17</v>
      </c>
      <c r="H238" t="str">
        <f t="shared" si="3"/>
        <v>9.0+</v>
      </c>
      <c r="I238">
        <v>1</v>
      </c>
      <c r="J238">
        <v>0.85</v>
      </c>
    </row>
    <row r="239" spans="1:10" x14ac:dyDescent="0.35">
      <c r="A239">
        <v>329</v>
      </c>
      <c r="B239" t="str">
        <f>IF(Table1[[#This Row],[GRE Score]]&lt;=310,"300–310", IF(Table1[[#This Row],[GRE Score]]&lt;=320,"310–320", IF(Table1[[#This Row],[GRE Score]]&lt;=330,"320–330","330+")))</f>
        <v>320–330</v>
      </c>
      <c r="C239">
        <v>114</v>
      </c>
      <c r="D239">
        <v>5</v>
      </c>
      <c r="E239">
        <v>4.5</v>
      </c>
      <c r="F239">
        <v>5</v>
      </c>
      <c r="G239">
        <v>9.19</v>
      </c>
      <c r="H239" t="str">
        <f t="shared" si="3"/>
        <v>9.0+</v>
      </c>
      <c r="I239">
        <v>1</v>
      </c>
      <c r="J239">
        <v>0.86</v>
      </c>
    </row>
    <row r="240" spans="1:10" x14ac:dyDescent="0.35">
      <c r="A240">
        <v>310</v>
      </c>
      <c r="B240" t="str">
        <f>IF(Table1[[#This Row],[GRE Score]]&lt;=310,"300–310", IF(Table1[[#This Row],[GRE Score]]&lt;=320,"310–320", IF(Table1[[#This Row],[GRE Score]]&lt;=330,"320–330","330+")))</f>
        <v>300–310</v>
      </c>
      <c r="C240">
        <v>104</v>
      </c>
      <c r="D240">
        <v>3</v>
      </c>
      <c r="E240">
        <v>2</v>
      </c>
      <c r="F240">
        <v>3.5</v>
      </c>
      <c r="G240">
        <v>8.3699999999999992</v>
      </c>
      <c r="H240" t="str">
        <f t="shared" si="3"/>
        <v>8.0–8.5</v>
      </c>
      <c r="I240">
        <v>0</v>
      </c>
      <c r="J240">
        <v>0.7</v>
      </c>
    </row>
    <row r="241" spans="1:10" x14ac:dyDescent="0.35">
      <c r="A241">
        <v>299</v>
      </c>
      <c r="B241" t="str">
        <f>IF(Table1[[#This Row],[GRE Score]]&lt;=310,"300–310", IF(Table1[[#This Row],[GRE Score]]&lt;=320,"310–320", IF(Table1[[#This Row],[GRE Score]]&lt;=330,"320–330","330+")))</f>
        <v>300–310</v>
      </c>
      <c r="C241">
        <v>100</v>
      </c>
      <c r="D241">
        <v>1</v>
      </c>
      <c r="E241">
        <v>1.5</v>
      </c>
      <c r="F241">
        <v>2</v>
      </c>
      <c r="G241">
        <v>7.89</v>
      </c>
      <c r="H241" t="str">
        <f t="shared" si="3"/>
        <v>7.5–8.0</v>
      </c>
      <c r="I241">
        <v>0</v>
      </c>
      <c r="J241">
        <v>0.59</v>
      </c>
    </row>
    <row r="242" spans="1:10" x14ac:dyDescent="0.35">
      <c r="A242">
        <v>296</v>
      </c>
      <c r="B242" t="str">
        <f>IF(Table1[[#This Row],[GRE Score]]&lt;=310,"300–310", IF(Table1[[#This Row],[GRE Score]]&lt;=320,"310–320", IF(Table1[[#This Row],[GRE Score]]&lt;=330,"320–330","330+")))</f>
        <v>300–310</v>
      </c>
      <c r="C242">
        <v>101</v>
      </c>
      <c r="D242">
        <v>1</v>
      </c>
      <c r="E242">
        <v>2.5</v>
      </c>
      <c r="F242">
        <v>3</v>
      </c>
      <c r="G242">
        <v>7.68</v>
      </c>
      <c r="H242" t="str">
        <f t="shared" si="3"/>
        <v>7.5–8.0</v>
      </c>
      <c r="I242">
        <v>0</v>
      </c>
      <c r="J242">
        <v>0.6</v>
      </c>
    </row>
    <row r="243" spans="1:10" x14ac:dyDescent="0.35">
      <c r="A243">
        <v>317</v>
      </c>
      <c r="B243" t="str">
        <f>IF(Table1[[#This Row],[GRE Score]]&lt;=310,"300–310", IF(Table1[[#This Row],[GRE Score]]&lt;=320,"310–320", IF(Table1[[#This Row],[GRE Score]]&lt;=330,"320–330","330+")))</f>
        <v>310–320</v>
      </c>
      <c r="C243">
        <v>103</v>
      </c>
      <c r="D243">
        <v>2</v>
      </c>
      <c r="E243">
        <v>2.5</v>
      </c>
      <c r="F243">
        <v>2</v>
      </c>
      <c r="G243">
        <v>8.15</v>
      </c>
      <c r="H243" t="str">
        <f t="shared" si="3"/>
        <v>8.0–8.5</v>
      </c>
      <c r="I243">
        <v>0</v>
      </c>
      <c r="J243">
        <v>0.65</v>
      </c>
    </row>
    <row r="244" spans="1:10" x14ac:dyDescent="0.35">
      <c r="A244">
        <v>324</v>
      </c>
      <c r="B244" t="str">
        <f>IF(Table1[[#This Row],[GRE Score]]&lt;=310,"300–310", IF(Table1[[#This Row],[GRE Score]]&lt;=320,"310–320", IF(Table1[[#This Row],[GRE Score]]&lt;=330,"320–330","330+")))</f>
        <v>320–330</v>
      </c>
      <c r="C244">
        <v>115</v>
      </c>
      <c r="D244">
        <v>3</v>
      </c>
      <c r="E244">
        <v>3.5</v>
      </c>
      <c r="F244">
        <v>3</v>
      </c>
      <c r="G244">
        <v>8.76</v>
      </c>
      <c r="H244" t="str">
        <f t="shared" si="3"/>
        <v>8.5–9.0</v>
      </c>
      <c r="I244">
        <v>1</v>
      </c>
      <c r="J244">
        <v>0.7</v>
      </c>
    </row>
    <row r="245" spans="1:10" x14ac:dyDescent="0.35">
      <c r="A245">
        <v>325</v>
      </c>
      <c r="B245" t="str">
        <f>IF(Table1[[#This Row],[GRE Score]]&lt;=310,"300–310", IF(Table1[[#This Row],[GRE Score]]&lt;=320,"310–320", IF(Table1[[#This Row],[GRE Score]]&lt;=330,"320–330","330+")))</f>
        <v>320–330</v>
      </c>
      <c r="C245">
        <v>114</v>
      </c>
      <c r="D245">
        <v>3</v>
      </c>
      <c r="E245">
        <v>3.5</v>
      </c>
      <c r="F245">
        <v>3</v>
      </c>
      <c r="G245">
        <v>9.0399999999999991</v>
      </c>
      <c r="H245" t="str">
        <f t="shared" si="3"/>
        <v>9.0+</v>
      </c>
      <c r="I245">
        <v>1</v>
      </c>
      <c r="J245">
        <v>0.76</v>
      </c>
    </row>
    <row r="246" spans="1:10" x14ac:dyDescent="0.35">
      <c r="A246">
        <v>314</v>
      </c>
      <c r="B246" t="str">
        <f>IF(Table1[[#This Row],[GRE Score]]&lt;=310,"300–310", IF(Table1[[#This Row],[GRE Score]]&lt;=320,"310–320", IF(Table1[[#This Row],[GRE Score]]&lt;=330,"320–330","330+")))</f>
        <v>310–320</v>
      </c>
      <c r="C246">
        <v>107</v>
      </c>
      <c r="D246">
        <v>2</v>
      </c>
      <c r="E246">
        <v>2.5</v>
      </c>
      <c r="F246">
        <v>4</v>
      </c>
      <c r="G246">
        <v>8.56</v>
      </c>
      <c r="H246" t="str">
        <f t="shared" si="3"/>
        <v>8.5–9.0</v>
      </c>
      <c r="I246">
        <v>0</v>
      </c>
      <c r="J246">
        <v>0.63</v>
      </c>
    </row>
    <row r="247" spans="1:10" x14ac:dyDescent="0.35">
      <c r="A247">
        <v>328</v>
      </c>
      <c r="B247" t="str">
        <f>IF(Table1[[#This Row],[GRE Score]]&lt;=310,"300–310", IF(Table1[[#This Row],[GRE Score]]&lt;=320,"310–320", IF(Table1[[#This Row],[GRE Score]]&lt;=330,"320–330","330+")))</f>
        <v>320–330</v>
      </c>
      <c r="C247">
        <v>110</v>
      </c>
      <c r="D247">
        <v>4</v>
      </c>
      <c r="E247">
        <v>4</v>
      </c>
      <c r="F247">
        <v>2.5</v>
      </c>
      <c r="G247">
        <v>9.02</v>
      </c>
      <c r="H247" t="str">
        <f t="shared" si="3"/>
        <v>9.0+</v>
      </c>
      <c r="I247">
        <v>1</v>
      </c>
      <c r="J247">
        <v>0.81</v>
      </c>
    </row>
    <row r="248" spans="1:10" x14ac:dyDescent="0.35">
      <c r="A248">
        <v>316</v>
      </c>
      <c r="B248" t="str">
        <f>IF(Table1[[#This Row],[GRE Score]]&lt;=310,"300–310", IF(Table1[[#This Row],[GRE Score]]&lt;=320,"310–320", IF(Table1[[#This Row],[GRE Score]]&lt;=330,"320–330","330+")))</f>
        <v>310–320</v>
      </c>
      <c r="C248">
        <v>105</v>
      </c>
      <c r="D248">
        <v>3</v>
      </c>
      <c r="E248">
        <v>3</v>
      </c>
      <c r="F248">
        <v>3.5</v>
      </c>
      <c r="G248">
        <v>8.73</v>
      </c>
      <c r="H248" t="str">
        <f t="shared" si="3"/>
        <v>8.5–9.0</v>
      </c>
      <c r="I248">
        <v>0</v>
      </c>
      <c r="J248">
        <v>0.72</v>
      </c>
    </row>
    <row r="249" spans="1:10" x14ac:dyDescent="0.35">
      <c r="A249">
        <v>311</v>
      </c>
      <c r="B249" t="str">
        <f>IF(Table1[[#This Row],[GRE Score]]&lt;=310,"300–310", IF(Table1[[#This Row],[GRE Score]]&lt;=320,"310–320", IF(Table1[[#This Row],[GRE Score]]&lt;=330,"320–330","330+")))</f>
        <v>310–320</v>
      </c>
      <c r="C249">
        <v>104</v>
      </c>
      <c r="D249">
        <v>2</v>
      </c>
      <c r="E249">
        <v>2.5</v>
      </c>
      <c r="F249">
        <v>3.5</v>
      </c>
      <c r="G249">
        <v>8.48</v>
      </c>
      <c r="H249" t="str">
        <f t="shared" si="3"/>
        <v>8.0–8.5</v>
      </c>
      <c r="I249">
        <v>0</v>
      </c>
      <c r="J249">
        <v>0.71</v>
      </c>
    </row>
    <row r="250" spans="1:10" x14ac:dyDescent="0.35">
      <c r="A250">
        <v>324</v>
      </c>
      <c r="B250" t="str">
        <f>IF(Table1[[#This Row],[GRE Score]]&lt;=310,"300–310", IF(Table1[[#This Row],[GRE Score]]&lt;=320,"310–320", IF(Table1[[#This Row],[GRE Score]]&lt;=330,"320–330","330+")))</f>
        <v>320–330</v>
      </c>
      <c r="C250">
        <v>110</v>
      </c>
      <c r="D250">
        <v>3</v>
      </c>
      <c r="E250">
        <v>3.5</v>
      </c>
      <c r="F250">
        <v>4</v>
      </c>
      <c r="G250">
        <v>8.8699999999999992</v>
      </c>
      <c r="H250" t="str">
        <f t="shared" si="3"/>
        <v>8.5–9.0</v>
      </c>
      <c r="I250">
        <v>1</v>
      </c>
      <c r="J250">
        <v>0.8</v>
      </c>
    </row>
    <row r="251" spans="1:10" x14ac:dyDescent="0.35">
      <c r="A251">
        <v>321</v>
      </c>
      <c r="B251" t="str">
        <f>IF(Table1[[#This Row],[GRE Score]]&lt;=310,"300–310", IF(Table1[[#This Row],[GRE Score]]&lt;=320,"310–320", IF(Table1[[#This Row],[GRE Score]]&lt;=330,"320–330","330+")))</f>
        <v>320–330</v>
      </c>
      <c r="C251">
        <v>111</v>
      </c>
      <c r="D251">
        <v>3</v>
      </c>
      <c r="E251">
        <v>3.5</v>
      </c>
      <c r="F251">
        <v>4</v>
      </c>
      <c r="G251">
        <v>8.83</v>
      </c>
      <c r="H251" t="str">
        <f t="shared" si="3"/>
        <v>8.5–9.0</v>
      </c>
      <c r="I251">
        <v>1</v>
      </c>
      <c r="J251">
        <v>0.77</v>
      </c>
    </row>
    <row r="252" spans="1:10" x14ac:dyDescent="0.35">
      <c r="A252">
        <v>320</v>
      </c>
      <c r="B252" t="str">
        <f>IF(Table1[[#This Row],[GRE Score]]&lt;=310,"300–310", IF(Table1[[#This Row],[GRE Score]]&lt;=320,"310–320", IF(Table1[[#This Row],[GRE Score]]&lt;=330,"320–330","330+")))</f>
        <v>310–320</v>
      </c>
      <c r="C252">
        <v>104</v>
      </c>
      <c r="D252">
        <v>3</v>
      </c>
      <c r="E252">
        <v>3</v>
      </c>
      <c r="F252">
        <v>2.5</v>
      </c>
      <c r="G252">
        <v>8.57</v>
      </c>
      <c r="H252" t="str">
        <f t="shared" si="3"/>
        <v>8.5–9.0</v>
      </c>
      <c r="I252">
        <v>1</v>
      </c>
      <c r="J252">
        <v>0.74</v>
      </c>
    </row>
    <row r="253" spans="1:10" x14ac:dyDescent="0.35">
      <c r="A253">
        <v>316</v>
      </c>
      <c r="B253" t="str">
        <f>IF(Table1[[#This Row],[GRE Score]]&lt;=310,"300–310", IF(Table1[[#This Row],[GRE Score]]&lt;=320,"310–320", IF(Table1[[#This Row],[GRE Score]]&lt;=330,"320–330","330+")))</f>
        <v>310–320</v>
      </c>
      <c r="C253">
        <v>99</v>
      </c>
      <c r="D253">
        <v>2</v>
      </c>
      <c r="E253">
        <v>2.5</v>
      </c>
      <c r="F253">
        <v>3</v>
      </c>
      <c r="G253">
        <v>9</v>
      </c>
      <c r="H253" t="str">
        <f t="shared" si="3"/>
        <v>9.0+</v>
      </c>
      <c r="I253">
        <v>0</v>
      </c>
      <c r="J253">
        <v>0.7</v>
      </c>
    </row>
    <row r="254" spans="1:10" x14ac:dyDescent="0.35">
      <c r="A254">
        <v>318</v>
      </c>
      <c r="B254" t="str">
        <f>IF(Table1[[#This Row],[GRE Score]]&lt;=310,"300–310", IF(Table1[[#This Row],[GRE Score]]&lt;=320,"310–320", IF(Table1[[#This Row],[GRE Score]]&lt;=330,"320–330","330+")))</f>
        <v>310–320</v>
      </c>
      <c r="C254">
        <v>100</v>
      </c>
      <c r="D254">
        <v>2</v>
      </c>
      <c r="E254">
        <v>2.5</v>
      </c>
      <c r="F254">
        <v>3.5</v>
      </c>
      <c r="G254">
        <v>8.5399999999999991</v>
      </c>
      <c r="H254" t="str">
        <f t="shared" si="3"/>
        <v>8.5–9.0</v>
      </c>
      <c r="I254">
        <v>1</v>
      </c>
      <c r="J254">
        <v>0.71</v>
      </c>
    </row>
    <row r="255" spans="1:10" x14ac:dyDescent="0.35">
      <c r="A255">
        <v>335</v>
      </c>
      <c r="B255" t="str">
        <f>IF(Table1[[#This Row],[GRE Score]]&lt;=310,"300–310", IF(Table1[[#This Row],[GRE Score]]&lt;=320,"310–320", IF(Table1[[#This Row],[GRE Score]]&lt;=330,"320–330","330+")))</f>
        <v>330+</v>
      </c>
      <c r="C255">
        <v>115</v>
      </c>
      <c r="D255">
        <v>4</v>
      </c>
      <c r="E255">
        <v>4.5</v>
      </c>
      <c r="F255">
        <v>4.5</v>
      </c>
      <c r="G255">
        <v>9.68</v>
      </c>
      <c r="H255" t="str">
        <f t="shared" si="3"/>
        <v>9.0+</v>
      </c>
      <c r="I255">
        <v>1</v>
      </c>
      <c r="J255">
        <v>0.93</v>
      </c>
    </row>
    <row r="256" spans="1:10" x14ac:dyDescent="0.35">
      <c r="A256">
        <v>321</v>
      </c>
      <c r="B256" t="str">
        <f>IF(Table1[[#This Row],[GRE Score]]&lt;=310,"300–310", IF(Table1[[#This Row],[GRE Score]]&lt;=320,"310–320", IF(Table1[[#This Row],[GRE Score]]&lt;=330,"320–330","330+")))</f>
        <v>320–330</v>
      </c>
      <c r="C256">
        <v>114</v>
      </c>
      <c r="D256">
        <v>4</v>
      </c>
      <c r="E256">
        <v>4</v>
      </c>
      <c r="F256">
        <v>5</v>
      </c>
      <c r="G256">
        <v>9.1199999999999992</v>
      </c>
      <c r="H256" t="str">
        <f t="shared" si="3"/>
        <v>9.0+</v>
      </c>
      <c r="I256">
        <v>0</v>
      </c>
      <c r="J256">
        <v>0.85</v>
      </c>
    </row>
    <row r="257" spans="1:10" x14ac:dyDescent="0.35">
      <c r="A257">
        <v>307</v>
      </c>
      <c r="B257" t="str">
        <f>IF(Table1[[#This Row],[GRE Score]]&lt;=310,"300–310", IF(Table1[[#This Row],[GRE Score]]&lt;=320,"310–320", IF(Table1[[#This Row],[GRE Score]]&lt;=330,"320–330","330+")))</f>
        <v>300–310</v>
      </c>
      <c r="C257">
        <v>110</v>
      </c>
      <c r="D257">
        <v>4</v>
      </c>
      <c r="E257">
        <v>4</v>
      </c>
      <c r="F257">
        <v>4.5</v>
      </c>
      <c r="G257">
        <v>8.3699999999999992</v>
      </c>
      <c r="H257" t="str">
        <f t="shared" si="3"/>
        <v>8.0–8.5</v>
      </c>
      <c r="I257">
        <v>0</v>
      </c>
      <c r="J257">
        <v>0.79</v>
      </c>
    </row>
    <row r="258" spans="1:10" x14ac:dyDescent="0.35">
      <c r="A258">
        <v>309</v>
      </c>
      <c r="B258" t="str">
        <f>IF(Table1[[#This Row],[GRE Score]]&lt;=310,"300–310", IF(Table1[[#This Row],[GRE Score]]&lt;=320,"310–320", IF(Table1[[#This Row],[GRE Score]]&lt;=330,"320–330","330+")))</f>
        <v>300–310</v>
      </c>
      <c r="C258">
        <v>99</v>
      </c>
      <c r="D258">
        <v>3</v>
      </c>
      <c r="E258">
        <v>4</v>
      </c>
      <c r="F258">
        <v>4</v>
      </c>
      <c r="G258">
        <v>8.56</v>
      </c>
      <c r="H258" t="str">
        <f t="shared" ref="H258:H321" si="4">IF(G258&lt;8,"7.5–8.0",
IF(G258&lt;8.5,"8.0–8.5",
IF(G258&lt;9,"8.5–9.0","9.0+")))</f>
        <v>8.5–9.0</v>
      </c>
      <c r="I258">
        <v>0</v>
      </c>
      <c r="J258">
        <v>0.76</v>
      </c>
    </row>
    <row r="259" spans="1:10" x14ac:dyDescent="0.35">
      <c r="A259">
        <v>324</v>
      </c>
      <c r="B259" t="str">
        <f>IF(Table1[[#This Row],[GRE Score]]&lt;=310,"300–310", IF(Table1[[#This Row],[GRE Score]]&lt;=320,"310–320", IF(Table1[[#This Row],[GRE Score]]&lt;=330,"320–330","330+")))</f>
        <v>320–330</v>
      </c>
      <c r="C259">
        <v>100</v>
      </c>
      <c r="D259">
        <v>3</v>
      </c>
      <c r="E259">
        <v>4</v>
      </c>
      <c r="F259">
        <v>5</v>
      </c>
      <c r="G259">
        <v>8.64</v>
      </c>
      <c r="H259" t="str">
        <f t="shared" si="4"/>
        <v>8.5–9.0</v>
      </c>
      <c r="I259">
        <v>1</v>
      </c>
      <c r="J259">
        <v>0.78</v>
      </c>
    </row>
    <row r="260" spans="1:10" x14ac:dyDescent="0.35">
      <c r="A260">
        <v>326</v>
      </c>
      <c r="B260" t="str">
        <f>IF(Table1[[#This Row],[GRE Score]]&lt;=310,"300–310", IF(Table1[[#This Row],[GRE Score]]&lt;=320,"310–320", IF(Table1[[#This Row],[GRE Score]]&lt;=330,"320–330","330+")))</f>
        <v>320–330</v>
      </c>
      <c r="C260">
        <v>102</v>
      </c>
      <c r="D260">
        <v>4</v>
      </c>
      <c r="E260">
        <v>5</v>
      </c>
      <c r="F260">
        <v>5</v>
      </c>
      <c r="G260">
        <v>8.76</v>
      </c>
      <c r="H260" t="str">
        <f t="shared" si="4"/>
        <v>8.5–9.0</v>
      </c>
      <c r="I260">
        <v>1</v>
      </c>
      <c r="J260">
        <v>0.77</v>
      </c>
    </row>
    <row r="261" spans="1:10" x14ac:dyDescent="0.35">
      <c r="A261">
        <v>331</v>
      </c>
      <c r="B261" t="str">
        <f>IF(Table1[[#This Row],[GRE Score]]&lt;=310,"300–310", IF(Table1[[#This Row],[GRE Score]]&lt;=320,"310–320", IF(Table1[[#This Row],[GRE Score]]&lt;=330,"320–330","330+")))</f>
        <v>330+</v>
      </c>
      <c r="C261">
        <v>119</v>
      </c>
      <c r="D261">
        <v>4</v>
      </c>
      <c r="E261">
        <v>5</v>
      </c>
      <c r="F261">
        <v>4.5</v>
      </c>
      <c r="G261">
        <v>9.34</v>
      </c>
      <c r="H261" t="str">
        <f t="shared" si="4"/>
        <v>9.0+</v>
      </c>
      <c r="I261">
        <v>1</v>
      </c>
      <c r="J261">
        <v>0.9</v>
      </c>
    </row>
    <row r="262" spans="1:10" x14ac:dyDescent="0.35">
      <c r="A262">
        <v>327</v>
      </c>
      <c r="B262" t="str">
        <f>IF(Table1[[#This Row],[GRE Score]]&lt;=310,"300–310", IF(Table1[[#This Row],[GRE Score]]&lt;=320,"310–320", IF(Table1[[#This Row],[GRE Score]]&lt;=330,"320–330","330+")))</f>
        <v>320–330</v>
      </c>
      <c r="C262">
        <v>108</v>
      </c>
      <c r="D262">
        <v>5</v>
      </c>
      <c r="E262">
        <v>5</v>
      </c>
      <c r="F262">
        <v>3.5</v>
      </c>
      <c r="G262">
        <v>9.1300000000000008</v>
      </c>
      <c r="H262" t="str">
        <f t="shared" si="4"/>
        <v>9.0+</v>
      </c>
      <c r="I262">
        <v>1</v>
      </c>
      <c r="J262">
        <v>0.87</v>
      </c>
    </row>
    <row r="263" spans="1:10" x14ac:dyDescent="0.35">
      <c r="A263">
        <v>312</v>
      </c>
      <c r="B263" t="str">
        <f>IF(Table1[[#This Row],[GRE Score]]&lt;=310,"300–310", IF(Table1[[#This Row],[GRE Score]]&lt;=320,"310–320", IF(Table1[[#This Row],[GRE Score]]&lt;=330,"320–330","330+")))</f>
        <v>310–320</v>
      </c>
      <c r="C263">
        <v>104</v>
      </c>
      <c r="D263">
        <v>3</v>
      </c>
      <c r="E263">
        <v>3.5</v>
      </c>
      <c r="F263">
        <v>4</v>
      </c>
      <c r="G263">
        <v>8.09</v>
      </c>
      <c r="H263" t="str">
        <f t="shared" si="4"/>
        <v>8.0–8.5</v>
      </c>
      <c r="I263">
        <v>0</v>
      </c>
      <c r="J263">
        <v>0.71</v>
      </c>
    </row>
    <row r="264" spans="1:10" x14ac:dyDescent="0.35">
      <c r="A264">
        <v>308</v>
      </c>
      <c r="B264" t="str">
        <f>IF(Table1[[#This Row],[GRE Score]]&lt;=310,"300–310", IF(Table1[[#This Row],[GRE Score]]&lt;=320,"310–320", IF(Table1[[#This Row],[GRE Score]]&lt;=330,"320–330","330+")))</f>
        <v>300–310</v>
      </c>
      <c r="C264">
        <v>103</v>
      </c>
      <c r="D264">
        <v>2</v>
      </c>
      <c r="E264">
        <v>2.5</v>
      </c>
      <c r="F264">
        <v>4</v>
      </c>
      <c r="G264">
        <v>8.36</v>
      </c>
      <c r="H264" t="str">
        <f t="shared" si="4"/>
        <v>8.0–8.5</v>
      </c>
      <c r="I264">
        <v>1</v>
      </c>
      <c r="J264">
        <v>0.7</v>
      </c>
    </row>
    <row r="265" spans="1:10" x14ac:dyDescent="0.35">
      <c r="A265">
        <v>324</v>
      </c>
      <c r="B265" t="str">
        <f>IF(Table1[[#This Row],[GRE Score]]&lt;=310,"300–310", IF(Table1[[#This Row],[GRE Score]]&lt;=320,"310–320", IF(Table1[[#This Row],[GRE Score]]&lt;=330,"320–330","330+")))</f>
        <v>320–330</v>
      </c>
      <c r="C265">
        <v>111</v>
      </c>
      <c r="D265">
        <v>3</v>
      </c>
      <c r="E265">
        <v>2.5</v>
      </c>
      <c r="F265">
        <v>1.5</v>
      </c>
      <c r="G265">
        <v>8.7899999999999991</v>
      </c>
      <c r="H265" t="str">
        <f t="shared" si="4"/>
        <v>8.5–9.0</v>
      </c>
      <c r="I265">
        <v>1</v>
      </c>
      <c r="J265">
        <v>0.7</v>
      </c>
    </row>
    <row r="266" spans="1:10" x14ac:dyDescent="0.35">
      <c r="A266">
        <v>325</v>
      </c>
      <c r="B266" t="str">
        <f>IF(Table1[[#This Row],[GRE Score]]&lt;=310,"300–310", IF(Table1[[#This Row],[GRE Score]]&lt;=320,"310–320", IF(Table1[[#This Row],[GRE Score]]&lt;=330,"320–330","330+")))</f>
        <v>320–330</v>
      </c>
      <c r="C266">
        <v>110</v>
      </c>
      <c r="D266">
        <v>2</v>
      </c>
      <c r="E266">
        <v>3</v>
      </c>
      <c r="F266">
        <v>2.5</v>
      </c>
      <c r="G266">
        <v>8.76</v>
      </c>
      <c r="H266" t="str">
        <f t="shared" si="4"/>
        <v>8.5–9.0</v>
      </c>
      <c r="I266">
        <v>1</v>
      </c>
      <c r="J266">
        <v>0.75</v>
      </c>
    </row>
    <row r="267" spans="1:10" x14ac:dyDescent="0.35">
      <c r="A267">
        <v>313</v>
      </c>
      <c r="B267" t="str">
        <f>IF(Table1[[#This Row],[GRE Score]]&lt;=310,"300–310", IF(Table1[[#This Row],[GRE Score]]&lt;=320,"310–320", IF(Table1[[#This Row],[GRE Score]]&lt;=330,"320–330","330+")))</f>
        <v>310–320</v>
      </c>
      <c r="C267">
        <v>102</v>
      </c>
      <c r="D267">
        <v>3</v>
      </c>
      <c r="E267">
        <v>2.5</v>
      </c>
      <c r="F267">
        <v>2.5</v>
      </c>
      <c r="G267">
        <v>8.68</v>
      </c>
      <c r="H267" t="str">
        <f t="shared" si="4"/>
        <v>8.5–9.0</v>
      </c>
      <c r="I267">
        <v>0</v>
      </c>
      <c r="J267">
        <v>0.71</v>
      </c>
    </row>
    <row r="268" spans="1:10" x14ac:dyDescent="0.35">
      <c r="A268">
        <v>312</v>
      </c>
      <c r="B268" t="str">
        <f>IF(Table1[[#This Row],[GRE Score]]&lt;=310,"300–310", IF(Table1[[#This Row],[GRE Score]]&lt;=320,"310–320", IF(Table1[[#This Row],[GRE Score]]&lt;=330,"320–330","330+")))</f>
        <v>310–320</v>
      </c>
      <c r="C268">
        <v>105</v>
      </c>
      <c r="D268">
        <v>2</v>
      </c>
      <c r="E268">
        <v>2</v>
      </c>
      <c r="F268">
        <v>2.5</v>
      </c>
      <c r="G268">
        <v>8.4499999999999993</v>
      </c>
      <c r="H268" t="str">
        <f t="shared" si="4"/>
        <v>8.0–8.5</v>
      </c>
      <c r="I268">
        <v>0</v>
      </c>
      <c r="J268">
        <v>0.72</v>
      </c>
    </row>
    <row r="269" spans="1:10" x14ac:dyDescent="0.35">
      <c r="A269">
        <v>314</v>
      </c>
      <c r="B269" t="str">
        <f>IF(Table1[[#This Row],[GRE Score]]&lt;=310,"300–310", IF(Table1[[#This Row],[GRE Score]]&lt;=320,"310–320", IF(Table1[[#This Row],[GRE Score]]&lt;=330,"320–330","330+")))</f>
        <v>310–320</v>
      </c>
      <c r="C269">
        <v>107</v>
      </c>
      <c r="D269">
        <v>3</v>
      </c>
      <c r="E269">
        <v>3</v>
      </c>
      <c r="F269">
        <v>3.5</v>
      </c>
      <c r="G269">
        <v>8.17</v>
      </c>
      <c r="H269" t="str">
        <f t="shared" si="4"/>
        <v>8.0–8.5</v>
      </c>
      <c r="I269">
        <v>1</v>
      </c>
      <c r="J269">
        <v>0.73</v>
      </c>
    </row>
    <row r="270" spans="1:10" x14ac:dyDescent="0.35">
      <c r="A270">
        <v>327</v>
      </c>
      <c r="B270" t="str">
        <f>IF(Table1[[#This Row],[GRE Score]]&lt;=310,"300–310", IF(Table1[[#This Row],[GRE Score]]&lt;=320,"310–320", IF(Table1[[#This Row],[GRE Score]]&lt;=330,"320–330","330+")))</f>
        <v>320–330</v>
      </c>
      <c r="C270">
        <v>113</v>
      </c>
      <c r="D270">
        <v>4</v>
      </c>
      <c r="E270">
        <v>4.5</v>
      </c>
      <c r="F270">
        <v>5</v>
      </c>
      <c r="G270">
        <v>9.14</v>
      </c>
      <c r="H270" t="str">
        <f t="shared" si="4"/>
        <v>9.0+</v>
      </c>
      <c r="I270">
        <v>0</v>
      </c>
      <c r="J270">
        <v>0.83</v>
      </c>
    </row>
    <row r="271" spans="1:10" x14ac:dyDescent="0.35">
      <c r="A271">
        <v>308</v>
      </c>
      <c r="B271" t="str">
        <f>IF(Table1[[#This Row],[GRE Score]]&lt;=310,"300–310", IF(Table1[[#This Row],[GRE Score]]&lt;=320,"310–320", IF(Table1[[#This Row],[GRE Score]]&lt;=330,"320–330","330+")))</f>
        <v>300–310</v>
      </c>
      <c r="C271">
        <v>108</v>
      </c>
      <c r="D271">
        <v>4</v>
      </c>
      <c r="E271">
        <v>4.5</v>
      </c>
      <c r="F271">
        <v>5</v>
      </c>
      <c r="G271">
        <v>8.34</v>
      </c>
      <c r="H271" t="str">
        <f t="shared" si="4"/>
        <v>8.0–8.5</v>
      </c>
      <c r="I271">
        <v>0</v>
      </c>
      <c r="J271">
        <v>0.77</v>
      </c>
    </row>
    <row r="272" spans="1:10" x14ac:dyDescent="0.35">
      <c r="A272">
        <v>306</v>
      </c>
      <c r="B272" t="str">
        <f>IF(Table1[[#This Row],[GRE Score]]&lt;=310,"300–310", IF(Table1[[#This Row],[GRE Score]]&lt;=320,"310–320", IF(Table1[[#This Row],[GRE Score]]&lt;=330,"320–330","330+")))</f>
        <v>300–310</v>
      </c>
      <c r="C272">
        <v>105</v>
      </c>
      <c r="D272">
        <v>2</v>
      </c>
      <c r="E272">
        <v>2.5</v>
      </c>
      <c r="F272">
        <v>3</v>
      </c>
      <c r="G272">
        <v>8.2200000000000006</v>
      </c>
      <c r="H272" t="str">
        <f t="shared" si="4"/>
        <v>8.0–8.5</v>
      </c>
      <c r="I272">
        <v>1</v>
      </c>
      <c r="J272">
        <v>0.72</v>
      </c>
    </row>
    <row r="273" spans="1:10" x14ac:dyDescent="0.35">
      <c r="A273">
        <v>299</v>
      </c>
      <c r="B273" t="str">
        <f>IF(Table1[[#This Row],[GRE Score]]&lt;=310,"300–310", IF(Table1[[#This Row],[GRE Score]]&lt;=320,"310–320", IF(Table1[[#This Row],[GRE Score]]&lt;=330,"320–330","330+")))</f>
        <v>300–310</v>
      </c>
      <c r="C273">
        <v>96</v>
      </c>
      <c r="D273">
        <v>2</v>
      </c>
      <c r="E273">
        <v>1.5</v>
      </c>
      <c r="F273">
        <v>2</v>
      </c>
      <c r="G273">
        <v>7.86</v>
      </c>
      <c r="H273" t="str">
        <f t="shared" si="4"/>
        <v>7.5–8.0</v>
      </c>
      <c r="I273">
        <v>0</v>
      </c>
      <c r="J273">
        <v>0.54</v>
      </c>
    </row>
    <row r="274" spans="1:10" x14ac:dyDescent="0.35">
      <c r="A274">
        <v>294</v>
      </c>
      <c r="B274" t="str">
        <f>IF(Table1[[#This Row],[GRE Score]]&lt;=310,"300–310", IF(Table1[[#This Row],[GRE Score]]&lt;=320,"310–320", IF(Table1[[#This Row],[GRE Score]]&lt;=330,"320–330","330+")))</f>
        <v>300–310</v>
      </c>
      <c r="C274">
        <v>95</v>
      </c>
      <c r="D274">
        <v>1</v>
      </c>
      <c r="E274">
        <v>1.5</v>
      </c>
      <c r="F274">
        <v>1.5</v>
      </c>
      <c r="G274">
        <v>7.64</v>
      </c>
      <c r="H274" t="str">
        <f t="shared" si="4"/>
        <v>7.5–8.0</v>
      </c>
      <c r="I274">
        <v>0</v>
      </c>
      <c r="J274">
        <v>0.49</v>
      </c>
    </row>
    <row r="275" spans="1:10" x14ac:dyDescent="0.35">
      <c r="A275">
        <v>312</v>
      </c>
      <c r="B275" t="str">
        <f>IF(Table1[[#This Row],[GRE Score]]&lt;=310,"300–310", IF(Table1[[#This Row],[GRE Score]]&lt;=320,"310–320", IF(Table1[[#This Row],[GRE Score]]&lt;=330,"320–330","330+")))</f>
        <v>310–320</v>
      </c>
      <c r="C275">
        <v>99</v>
      </c>
      <c r="D275">
        <v>1</v>
      </c>
      <c r="E275">
        <v>1</v>
      </c>
      <c r="F275">
        <v>1.5</v>
      </c>
      <c r="G275">
        <v>8.01</v>
      </c>
      <c r="H275" t="str">
        <f t="shared" si="4"/>
        <v>8.0–8.5</v>
      </c>
      <c r="I275">
        <v>1</v>
      </c>
      <c r="J275">
        <v>0.52</v>
      </c>
    </row>
    <row r="276" spans="1:10" x14ac:dyDescent="0.35">
      <c r="A276">
        <v>315</v>
      </c>
      <c r="B276" t="str">
        <f>IF(Table1[[#This Row],[GRE Score]]&lt;=310,"300–310", IF(Table1[[#This Row],[GRE Score]]&lt;=320,"310–320", IF(Table1[[#This Row],[GRE Score]]&lt;=330,"320–330","330+")))</f>
        <v>310–320</v>
      </c>
      <c r="C276">
        <v>100</v>
      </c>
      <c r="D276">
        <v>1</v>
      </c>
      <c r="E276">
        <v>2</v>
      </c>
      <c r="F276">
        <v>2.5</v>
      </c>
      <c r="G276">
        <v>7.95</v>
      </c>
      <c r="H276" t="str">
        <f t="shared" si="4"/>
        <v>7.5–8.0</v>
      </c>
      <c r="I276">
        <v>0</v>
      </c>
      <c r="J276">
        <v>0.57999999999999996</v>
      </c>
    </row>
    <row r="277" spans="1:10" x14ac:dyDescent="0.35">
      <c r="A277">
        <v>322</v>
      </c>
      <c r="B277" t="str">
        <f>IF(Table1[[#This Row],[GRE Score]]&lt;=310,"300–310", IF(Table1[[#This Row],[GRE Score]]&lt;=320,"310–320", IF(Table1[[#This Row],[GRE Score]]&lt;=330,"320–330","330+")))</f>
        <v>320–330</v>
      </c>
      <c r="C277">
        <v>110</v>
      </c>
      <c r="D277">
        <v>3</v>
      </c>
      <c r="E277">
        <v>3.5</v>
      </c>
      <c r="F277">
        <v>3</v>
      </c>
      <c r="G277">
        <v>8.9600000000000009</v>
      </c>
      <c r="H277" t="str">
        <f t="shared" si="4"/>
        <v>8.5–9.0</v>
      </c>
      <c r="I277">
        <v>1</v>
      </c>
      <c r="J277">
        <v>0.78</v>
      </c>
    </row>
    <row r="278" spans="1:10" x14ac:dyDescent="0.35">
      <c r="A278">
        <v>329</v>
      </c>
      <c r="B278" t="str">
        <f>IF(Table1[[#This Row],[GRE Score]]&lt;=310,"300–310", IF(Table1[[#This Row],[GRE Score]]&lt;=320,"310–320", IF(Table1[[#This Row],[GRE Score]]&lt;=330,"320–330","330+")))</f>
        <v>320–330</v>
      </c>
      <c r="C278">
        <v>113</v>
      </c>
      <c r="D278">
        <v>5</v>
      </c>
      <c r="E278">
        <v>5</v>
      </c>
      <c r="F278">
        <v>4.5</v>
      </c>
      <c r="G278">
        <v>9.4499999999999993</v>
      </c>
      <c r="H278" t="str">
        <f t="shared" si="4"/>
        <v>9.0+</v>
      </c>
      <c r="I278">
        <v>1</v>
      </c>
      <c r="J278">
        <v>0.89</v>
      </c>
    </row>
    <row r="279" spans="1:10" x14ac:dyDescent="0.35">
      <c r="A279">
        <v>320</v>
      </c>
      <c r="B279" t="str">
        <f>IF(Table1[[#This Row],[GRE Score]]&lt;=310,"300–310", IF(Table1[[#This Row],[GRE Score]]&lt;=320,"310–320", IF(Table1[[#This Row],[GRE Score]]&lt;=330,"320–330","330+")))</f>
        <v>310–320</v>
      </c>
      <c r="C279">
        <v>101</v>
      </c>
      <c r="D279">
        <v>2</v>
      </c>
      <c r="E279">
        <v>2.5</v>
      </c>
      <c r="F279">
        <v>3</v>
      </c>
      <c r="G279">
        <v>8.6199999999999992</v>
      </c>
      <c r="H279" t="str">
        <f t="shared" si="4"/>
        <v>8.5–9.0</v>
      </c>
      <c r="I279">
        <v>0</v>
      </c>
      <c r="J279">
        <v>0.7</v>
      </c>
    </row>
    <row r="280" spans="1:10" x14ac:dyDescent="0.35">
      <c r="A280">
        <v>308</v>
      </c>
      <c r="B280" t="str">
        <f>IF(Table1[[#This Row],[GRE Score]]&lt;=310,"300–310", IF(Table1[[#This Row],[GRE Score]]&lt;=320,"310–320", IF(Table1[[#This Row],[GRE Score]]&lt;=330,"320–330","330+")))</f>
        <v>300–310</v>
      </c>
      <c r="C280">
        <v>103</v>
      </c>
      <c r="D280">
        <v>2</v>
      </c>
      <c r="E280">
        <v>3</v>
      </c>
      <c r="F280">
        <v>3.5</v>
      </c>
      <c r="G280">
        <v>8.49</v>
      </c>
      <c r="H280" t="str">
        <f t="shared" si="4"/>
        <v>8.0–8.5</v>
      </c>
      <c r="I280">
        <v>0</v>
      </c>
      <c r="J280">
        <v>0.66</v>
      </c>
    </row>
    <row r="281" spans="1:10" x14ac:dyDescent="0.35">
      <c r="A281">
        <v>304</v>
      </c>
      <c r="B281" t="str">
        <f>IF(Table1[[#This Row],[GRE Score]]&lt;=310,"300–310", IF(Table1[[#This Row],[GRE Score]]&lt;=320,"310–320", IF(Table1[[#This Row],[GRE Score]]&lt;=330,"320–330","330+")))</f>
        <v>300–310</v>
      </c>
      <c r="C281">
        <v>102</v>
      </c>
      <c r="D281">
        <v>2</v>
      </c>
      <c r="E281">
        <v>3</v>
      </c>
      <c r="F281">
        <v>4</v>
      </c>
      <c r="G281">
        <v>8.73</v>
      </c>
      <c r="H281" t="str">
        <f t="shared" si="4"/>
        <v>8.5–9.0</v>
      </c>
      <c r="I281">
        <v>0</v>
      </c>
      <c r="J281">
        <v>0.67</v>
      </c>
    </row>
    <row r="282" spans="1:10" x14ac:dyDescent="0.35">
      <c r="A282">
        <v>311</v>
      </c>
      <c r="B282" t="str">
        <f>IF(Table1[[#This Row],[GRE Score]]&lt;=310,"300–310", IF(Table1[[#This Row],[GRE Score]]&lt;=320,"310–320", IF(Table1[[#This Row],[GRE Score]]&lt;=330,"320–330","330+")))</f>
        <v>310–320</v>
      </c>
      <c r="C282">
        <v>102</v>
      </c>
      <c r="D282">
        <v>3</v>
      </c>
      <c r="E282">
        <v>4.5</v>
      </c>
      <c r="F282">
        <v>4</v>
      </c>
      <c r="G282">
        <v>8.64</v>
      </c>
      <c r="H282" t="str">
        <f t="shared" si="4"/>
        <v>8.5–9.0</v>
      </c>
      <c r="I282">
        <v>1</v>
      </c>
      <c r="J282">
        <v>0.68</v>
      </c>
    </row>
    <row r="283" spans="1:10" x14ac:dyDescent="0.35">
      <c r="A283">
        <v>317</v>
      </c>
      <c r="B283" t="str">
        <f>IF(Table1[[#This Row],[GRE Score]]&lt;=310,"300–310", IF(Table1[[#This Row],[GRE Score]]&lt;=320,"310–320", IF(Table1[[#This Row],[GRE Score]]&lt;=330,"320–330","330+")))</f>
        <v>310–320</v>
      </c>
      <c r="C283">
        <v>110</v>
      </c>
      <c r="D283">
        <v>3</v>
      </c>
      <c r="E283">
        <v>4</v>
      </c>
      <c r="F283">
        <v>4.5</v>
      </c>
      <c r="G283">
        <v>9.11</v>
      </c>
      <c r="H283" t="str">
        <f t="shared" si="4"/>
        <v>9.0+</v>
      </c>
      <c r="I283">
        <v>1</v>
      </c>
      <c r="J283">
        <v>0.8</v>
      </c>
    </row>
    <row r="284" spans="1:10" x14ac:dyDescent="0.35">
      <c r="A284">
        <v>312</v>
      </c>
      <c r="B284" t="str">
        <f>IF(Table1[[#This Row],[GRE Score]]&lt;=310,"300–310", IF(Table1[[#This Row],[GRE Score]]&lt;=320,"310–320", IF(Table1[[#This Row],[GRE Score]]&lt;=330,"320–330","330+")))</f>
        <v>310–320</v>
      </c>
      <c r="C284">
        <v>106</v>
      </c>
      <c r="D284">
        <v>3</v>
      </c>
      <c r="E284">
        <v>4</v>
      </c>
      <c r="F284">
        <v>3.5</v>
      </c>
      <c r="G284">
        <v>8.7899999999999991</v>
      </c>
      <c r="H284" t="str">
        <f t="shared" si="4"/>
        <v>8.5–9.0</v>
      </c>
      <c r="I284">
        <v>1</v>
      </c>
      <c r="J284">
        <v>0.81</v>
      </c>
    </row>
    <row r="285" spans="1:10" x14ac:dyDescent="0.35">
      <c r="A285">
        <v>321</v>
      </c>
      <c r="B285" t="str">
        <f>IF(Table1[[#This Row],[GRE Score]]&lt;=310,"300–310", IF(Table1[[#This Row],[GRE Score]]&lt;=320,"310–320", IF(Table1[[#This Row],[GRE Score]]&lt;=330,"320–330","330+")))</f>
        <v>320–330</v>
      </c>
      <c r="C285">
        <v>111</v>
      </c>
      <c r="D285">
        <v>3</v>
      </c>
      <c r="E285">
        <v>2.5</v>
      </c>
      <c r="F285">
        <v>3</v>
      </c>
      <c r="G285">
        <v>8.9</v>
      </c>
      <c r="H285" t="str">
        <f t="shared" si="4"/>
        <v>8.5–9.0</v>
      </c>
      <c r="I285">
        <v>1</v>
      </c>
      <c r="J285">
        <v>0.8</v>
      </c>
    </row>
    <row r="286" spans="1:10" x14ac:dyDescent="0.35">
      <c r="A286">
        <v>340</v>
      </c>
      <c r="B286" t="str">
        <f>IF(Table1[[#This Row],[GRE Score]]&lt;=310,"300–310", IF(Table1[[#This Row],[GRE Score]]&lt;=320,"310–320", IF(Table1[[#This Row],[GRE Score]]&lt;=330,"320–330","330+")))</f>
        <v>330+</v>
      </c>
      <c r="C286">
        <v>112</v>
      </c>
      <c r="D286">
        <v>4</v>
      </c>
      <c r="E286">
        <v>5</v>
      </c>
      <c r="F286">
        <v>4.5</v>
      </c>
      <c r="G286">
        <v>9.66</v>
      </c>
      <c r="H286" t="str">
        <f t="shared" si="4"/>
        <v>9.0+</v>
      </c>
      <c r="I286">
        <v>1</v>
      </c>
      <c r="J286">
        <v>0.94</v>
      </c>
    </row>
    <row r="287" spans="1:10" x14ac:dyDescent="0.35">
      <c r="A287">
        <v>331</v>
      </c>
      <c r="B287" t="str">
        <f>IF(Table1[[#This Row],[GRE Score]]&lt;=310,"300–310", IF(Table1[[#This Row],[GRE Score]]&lt;=320,"310–320", IF(Table1[[#This Row],[GRE Score]]&lt;=330,"320–330","330+")))</f>
        <v>330+</v>
      </c>
      <c r="C287">
        <v>116</v>
      </c>
      <c r="D287">
        <v>5</v>
      </c>
      <c r="E287">
        <v>4</v>
      </c>
      <c r="F287">
        <v>4</v>
      </c>
      <c r="G287">
        <v>9.26</v>
      </c>
      <c r="H287" t="str">
        <f t="shared" si="4"/>
        <v>9.0+</v>
      </c>
      <c r="I287">
        <v>1</v>
      </c>
      <c r="J287">
        <v>0.93</v>
      </c>
    </row>
    <row r="288" spans="1:10" x14ac:dyDescent="0.35">
      <c r="A288">
        <v>336</v>
      </c>
      <c r="B288" t="str">
        <f>IF(Table1[[#This Row],[GRE Score]]&lt;=310,"300–310", IF(Table1[[#This Row],[GRE Score]]&lt;=320,"310–320", IF(Table1[[#This Row],[GRE Score]]&lt;=330,"320–330","330+")))</f>
        <v>330+</v>
      </c>
      <c r="C288">
        <v>118</v>
      </c>
      <c r="D288">
        <v>5</v>
      </c>
      <c r="E288">
        <v>4.5</v>
      </c>
      <c r="F288">
        <v>4</v>
      </c>
      <c r="G288">
        <v>9.19</v>
      </c>
      <c r="H288" t="str">
        <f t="shared" si="4"/>
        <v>9.0+</v>
      </c>
      <c r="I288">
        <v>1</v>
      </c>
      <c r="J288">
        <v>0.92</v>
      </c>
    </row>
    <row r="289" spans="1:10" x14ac:dyDescent="0.35">
      <c r="A289">
        <v>324</v>
      </c>
      <c r="B289" t="str">
        <f>IF(Table1[[#This Row],[GRE Score]]&lt;=310,"300–310", IF(Table1[[#This Row],[GRE Score]]&lt;=320,"310–320", IF(Table1[[#This Row],[GRE Score]]&lt;=330,"320–330","330+")))</f>
        <v>320–330</v>
      </c>
      <c r="C289">
        <v>114</v>
      </c>
      <c r="D289">
        <v>5</v>
      </c>
      <c r="E289">
        <v>5</v>
      </c>
      <c r="F289">
        <v>4.5</v>
      </c>
      <c r="G289">
        <v>9.08</v>
      </c>
      <c r="H289" t="str">
        <f t="shared" si="4"/>
        <v>9.0+</v>
      </c>
      <c r="I289">
        <v>1</v>
      </c>
      <c r="J289">
        <v>0.89</v>
      </c>
    </row>
    <row r="290" spans="1:10" x14ac:dyDescent="0.35">
      <c r="A290">
        <v>314</v>
      </c>
      <c r="B290" t="str">
        <f>IF(Table1[[#This Row],[GRE Score]]&lt;=310,"300–310", IF(Table1[[#This Row],[GRE Score]]&lt;=320,"310–320", IF(Table1[[#This Row],[GRE Score]]&lt;=330,"320–330","330+")))</f>
        <v>310–320</v>
      </c>
      <c r="C290">
        <v>104</v>
      </c>
      <c r="D290">
        <v>4</v>
      </c>
      <c r="E290">
        <v>5</v>
      </c>
      <c r="F290">
        <v>5</v>
      </c>
      <c r="G290">
        <v>9.02</v>
      </c>
      <c r="H290" t="str">
        <f t="shared" si="4"/>
        <v>9.0+</v>
      </c>
      <c r="I290">
        <v>0</v>
      </c>
      <c r="J290">
        <v>0.82</v>
      </c>
    </row>
    <row r="291" spans="1:10" x14ac:dyDescent="0.35">
      <c r="A291">
        <v>313</v>
      </c>
      <c r="B291" t="str">
        <f>IF(Table1[[#This Row],[GRE Score]]&lt;=310,"300–310", IF(Table1[[#This Row],[GRE Score]]&lt;=320,"310–320", IF(Table1[[#This Row],[GRE Score]]&lt;=330,"320–330","330+")))</f>
        <v>310–320</v>
      </c>
      <c r="C291">
        <v>109</v>
      </c>
      <c r="D291">
        <v>3</v>
      </c>
      <c r="E291">
        <v>4</v>
      </c>
      <c r="F291">
        <v>3.5</v>
      </c>
      <c r="G291">
        <v>9</v>
      </c>
      <c r="H291" t="str">
        <f t="shared" si="4"/>
        <v>9.0+</v>
      </c>
      <c r="I291">
        <v>0</v>
      </c>
      <c r="J291">
        <v>0.79</v>
      </c>
    </row>
    <row r="292" spans="1:10" x14ac:dyDescent="0.35">
      <c r="A292">
        <v>307</v>
      </c>
      <c r="B292" t="str">
        <f>IF(Table1[[#This Row],[GRE Score]]&lt;=310,"300–310", IF(Table1[[#This Row],[GRE Score]]&lt;=320,"310–320", IF(Table1[[#This Row],[GRE Score]]&lt;=330,"320–330","330+")))</f>
        <v>300–310</v>
      </c>
      <c r="C292">
        <v>105</v>
      </c>
      <c r="D292">
        <v>2</v>
      </c>
      <c r="E292">
        <v>2.5</v>
      </c>
      <c r="F292">
        <v>3</v>
      </c>
      <c r="G292">
        <v>7.65</v>
      </c>
      <c r="H292" t="str">
        <f t="shared" si="4"/>
        <v>7.5–8.0</v>
      </c>
      <c r="I292">
        <v>0</v>
      </c>
      <c r="J292">
        <v>0.57999999999999996</v>
      </c>
    </row>
    <row r="293" spans="1:10" x14ac:dyDescent="0.35">
      <c r="A293">
        <v>300</v>
      </c>
      <c r="B293" t="str">
        <f>IF(Table1[[#This Row],[GRE Score]]&lt;=310,"300–310", IF(Table1[[#This Row],[GRE Score]]&lt;=320,"310–320", IF(Table1[[#This Row],[GRE Score]]&lt;=330,"320–330","330+")))</f>
        <v>300–310</v>
      </c>
      <c r="C293">
        <v>102</v>
      </c>
      <c r="D293">
        <v>2</v>
      </c>
      <c r="E293">
        <v>1.5</v>
      </c>
      <c r="F293">
        <v>2</v>
      </c>
      <c r="G293">
        <v>7.87</v>
      </c>
      <c r="H293" t="str">
        <f t="shared" si="4"/>
        <v>7.5–8.0</v>
      </c>
      <c r="I293">
        <v>0</v>
      </c>
      <c r="J293">
        <v>0.56000000000000005</v>
      </c>
    </row>
    <row r="294" spans="1:10" x14ac:dyDescent="0.35">
      <c r="A294">
        <v>302</v>
      </c>
      <c r="B294" t="str">
        <f>IF(Table1[[#This Row],[GRE Score]]&lt;=310,"300–310", IF(Table1[[#This Row],[GRE Score]]&lt;=320,"310–320", IF(Table1[[#This Row],[GRE Score]]&lt;=330,"320–330","330+")))</f>
        <v>300–310</v>
      </c>
      <c r="C294">
        <v>99</v>
      </c>
      <c r="D294">
        <v>2</v>
      </c>
      <c r="E294">
        <v>1</v>
      </c>
      <c r="F294">
        <v>2</v>
      </c>
      <c r="G294">
        <v>7.97</v>
      </c>
      <c r="H294" t="str">
        <f t="shared" si="4"/>
        <v>7.5–8.0</v>
      </c>
      <c r="I294">
        <v>0</v>
      </c>
      <c r="J294">
        <v>0.56000000000000005</v>
      </c>
    </row>
    <row r="295" spans="1:10" x14ac:dyDescent="0.35">
      <c r="A295">
        <v>312</v>
      </c>
      <c r="B295" t="str">
        <f>IF(Table1[[#This Row],[GRE Score]]&lt;=310,"300–310", IF(Table1[[#This Row],[GRE Score]]&lt;=320,"310–320", IF(Table1[[#This Row],[GRE Score]]&lt;=330,"320–330","330+")))</f>
        <v>310–320</v>
      </c>
      <c r="C295">
        <v>98</v>
      </c>
      <c r="D295">
        <v>1</v>
      </c>
      <c r="E295">
        <v>3.5</v>
      </c>
      <c r="F295">
        <v>3</v>
      </c>
      <c r="G295">
        <v>8.18</v>
      </c>
      <c r="H295" t="str">
        <f t="shared" si="4"/>
        <v>8.0–8.5</v>
      </c>
      <c r="I295">
        <v>1</v>
      </c>
      <c r="J295">
        <v>0.64</v>
      </c>
    </row>
    <row r="296" spans="1:10" x14ac:dyDescent="0.35">
      <c r="A296">
        <v>316</v>
      </c>
      <c r="B296" t="str">
        <f>IF(Table1[[#This Row],[GRE Score]]&lt;=310,"300–310", IF(Table1[[#This Row],[GRE Score]]&lt;=320,"310–320", IF(Table1[[#This Row],[GRE Score]]&lt;=330,"320–330","330+")))</f>
        <v>310–320</v>
      </c>
      <c r="C296">
        <v>101</v>
      </c>
      <c r="D296">
        <v>2</v>
      </c>
      <c r="E296">
        <v>2.5</v>
      </c>
      <c r="F296">
        <v>2</v>
      </c>
      <c r="G296">
        <v>8.32</v>
      </c>
      <c r="H296" t="str">
        <f t="shared" si="4"/>
        <v>8.0–8.5</v>
      </c>
      <c r="I296">
        <v>1</v>
      </c>
      <c r="J296">
        <v>0.61</v>
      </c>
    </row>
    <row r="297" spans="1:10" x14ac:dyDescent="0.35">
      <c r="A297">
        <v>317</v>
      </c>
      <c r="B297" t="str">
        <f>IF(Table1[[#This Row],[GRE Score]]&lt;=310,"300–310", IF(Table1[[#This Row],[GRE Score]]&lt;=320,"310–320", IF(Table1[[#This Row],[GRE Score]]&lt;=330,"320–330","330+")))</f>
        <v>310–320</v>
      </c>
      <c r="C297">
        <v>100</v>
      </c>
      <c r="D297">
        <v>2</v>
      </c>
      <c r="E297">
        <v>3</v>
      </c>
      <c r="F297">
        <v>2.5</v>
      </c>
      <c r="G297">
        <v>8.57</v>
      </c>
      <c r="H297" t="str">
        <f t="shared" si="4"/>
        <v>8.5–9.0</v>
      </c>
      <c r="I297">
        <v>0</v>
      </c>
      <c r="J297">
        <v>0.68</v>
      </c>
    </row>
    <row r="298" spans="1:10" x14ac:dyDescent="0.35">
      <c r="A298">
        <v>310</v>
      </c>
      <c r="B298" t="str">
        <f>IF(Table1[[#This Row],[GRE Score]]&lt;=310,"300–310", IF(Table1[[#This Row],[GRE Score]]&lt;=320,"310–320", IF(Table1[[#This Row],[GRE Score]]&lt;=330,"320–330","330+")))</f>
        <v>300–310</v>
      </c>
      <c r="C298">
        <v>107</v>
      </c>
      <c r="D298">
        <v>3</v>
      </c>
      <c r="E298">
        <v>3.5</v>
      </c>
      <c r="F298">
        <v>3.5</v>
      </c>
      <c r="G298">
        <v>8.67</v>
      </c>
      <c r="H298" t="str">
        <f t="shared" si="4"/>
        <v>8.5–9.0</v>
      </c>
      <c r="I298">
        <v>0</v>
      </c>
      <c r="J298">
        <v>0.76</v>
      </c>
    </row>
    <row r="299" spans="1:10" x14ac:dyDescent="0.35">
      <c r="A299">
        <v>320</v>
      </c>
      <c r="B299" t="str">
        <f>IF(Table1[[#This Row],[GRE Score]]&lt;=310,"300–310", IF(Table1[[#This Row],[GRE Score]]&lt;=320,"310–320", IF(Table1[[#This Row],[GRE Score]]&lt;=330,"320–330","330+")))</f>
        <v>310–320</v>
      </c>
      <c r="C299">
        <v>120</v>
      </c>
      <c r="D299">
        <v>3</v>
      </c>
      <c r="E299">
        <v>4</v>
      </c>
      <c r="F299">
        <v>4.5</v>
      </c>
      <c r="G299">
        <v>9.11</v>
      </c>
      <c r="H299" t="str">
        <f t="shared" si="4"/>
        <v>9.0+</v>
      </c>
      <c r="I299">
        <v>0</v>
      </c>
      <c r="J299">
        <v>0.86</v>
      </c>
    </row>
    <row r="300" spans="1:10" x14ac:dyDescent="0.35">
      <c r="A300">
        <v>330</v>
      </c>
      <c r="B300" t="str">
        <f>IF(Table1[[#This Row],[GRE Score]]&lt;=310,"300–310", IF(Table1[[#This Row],[GRE Score]]&lt;=320,"310–320", IF(Table1[[#This Row],[GRE Score]]&lt;=330,"320–330","330+")))</f>
        <v>320–330</v>
      </c>
      <c r="C300">
        <v>114</v>
      </c>
      <c r="D300">
        <v>3</v>
      </c>
      <c r="E300">
        <v>4.5</v>
      </c>
      <c r="F300">
        <v>4.5</v>
      </c>
      <c r="G300">
        <v>9.24</v>
      </c>
      <c r="H300" t="str">
        <f t="shared" si="4"/>
        <v>9.0+</v>
      </c>
      <c r="I300">
        <v>1</v>
      </c>
      <c r="J300">
        <v>0.9</v>
      </c>
    </row>
    <row r="301" spans="1:10" x14ac:dyDescent="0.35">
      <c r="A301">
        <v>305</v>
      </c>
      <c r="B301" t="str">
        <f>IF(Table1[[#This Row],[GRE Score]]&lt;=310,"300–310", IF(Table1[[#This Row],[GRE Score]]&lt;=320,"310–320", IF(Table1[[#This Row],[GRE Score]]&lt;=330,"320–330","330+")))</f>
        <v>300–310</v>
      </c>
      <c r="C301">
        <v>112</v>
      </c>
      <c r="D301">
        <v>3</v>
      </c>
      <c r="E301">
        <v>3</v>
      </c>
      <c r="F301">
        <v>3.5</v>
      </c>
      <c r="G301">
        <v>8.65</v>
      </c>
      <c r="H301" t="str">
        <f t="shared" si="4"/>
        <v>8.5–9.0</v>
      </c>
      <c r="I301">
        <v>0</v>
      </c>
      <c r="J301">
        <v>0.71</v>
      </c>
    </row>
    <row r="302" spans="1:10" x14ac:dyDescent="0.35">
      <c r="A302">
        <v>309</v>
      </c>
      <c r="B302" t="str">
        <f>IF(Table1[[#This Row],[GRE Score]]&lt;=310,"300–310", IF(Table1[[#This Row],[GRE Score]]&lt;=320,"310–320", IF(Table1[[#This Row],[GRE Score]]&lt;=330,"320–330","330+")))</f>
        <v>300–310</v>
      </c>
      <c r="C302">
        <v>106</v>
      </c>
      <c r="D302">
        <v>2</v>
      </c>
      <c r="E302">
        <v>2.5</v>
      </c>
      <c r="F302">
        <v>2.5</v>
      </c>
      <c r="G302">
        <v>8</v>
      </c>
      <c r="H302" t="str">
        <f t="shared" si="4"/>
        <v>8.0–8.5</v>
      </c>
      <c r="I302">
        <v>0</v>
      </c>
      <c r="J302">
        <v>0.62</v>
      </c>
    </row>
    <row r="303" spans="1:10" x14ac:dyDescent="0.35">
      <c r="A303">
        <v>319</v>
      </c>
      <c r="B303" t="str">
        <f>IF(Table1[[#This Row],[GRE Score]]&lt;=310,"300–310", IF(Table1[[#This Row],[GRE Score]]&lt;=320,"310–320", IF(Table1[[#This Row],[GRE Score]]&lt;=330,"320–330","330+")))</f>
        <v>310–320</v>
      </c>
      <c r="C303">
        <v>108</v>
      </c>
      <c r="D303">
        <v>2</v>
      </c>
      <c r="E303">
        <v>2.5</v>
      </c>
      <c r="F303">
        <v>3</v>
      </c>
      <c r="G303">
        <v>8.76</v>
      </c>
      <c r="H303" t="str">
        <f t="shared" si="4"/>
        <v>8.5–9.0</v>
      </c>
      <c r="I303">
        <v>0</v>
      </c>
      <c r="J303">
        <v>0.66</v>
      </c>
    </row>
    <row r="304" spans="1:10" x14ac:dyDescent="0.35">
      <c r="A304">
        <v>322</v>
      </c>
      <c r="B304" t="str">
        <f>IF(Table1[[#This Row],[GRE Score]]&lt;=310,"300–310", IF(Table1[[#This Row],[GRE Score]]&lt;=320,"310–320", IF(Table1[[#This Row],[GRE Score]]&lt;=330,"320–330","330+")))</f>
        <v>320–330</v>
      </c>
      <c r="C304">
        <v>105</v>
      </c>
      <c r="D304">
        <v>2</v>
      </c>
      <c r="E304">
        <v>3</v>
      </c>
      <c r="F304">
        <v>3</v>
      </c>
      <c r="G304">
        <v>8.4499999999999993</v>
      </c>
      <c r="H304" t="str">
        <f t="shared" si="4"/>
        <v>8.0–8.5</v>
      </c>
      <c r="I304">
        <v>1</v>
      </c>
      <c r="J304">
        <v>0.65</v>
      </c>
    </row>
    <row r="305" spans="1:10" x14ac:dyDescent="0.35">
      <c r="A305">
        <v>323</v>
      </c>
      <c r="B305" t="str">
        <f>IF(Table1[[#This Row],[GRE Score]]&lt;=310,"300–310", IF(Table1[[#This Row],[GRE Score]]&lt;=320,"310–320", IF(Table1[[#This Row],[GRE Score]]&lt;=330,"320–330","330+")))</f>
        <v>320–330</v>
      </c>
      <c r="C305">
        <v>107</v>
      </c>
      <c r="D305">
        <v>3</v>
      </c>
      <c r="E305">
        <v>3.5</v>
      </c>
      <c r="F305">
        <v>3.5</v>
      </c>
      <c r="G305">
        <v>8.5500000000000007</v>
      </c>
      <c r="H305" t="str">
        <f t="shared" si="4"/>
        <v>8.5–9.0</v>
      </c>
      <c r="I305">
        <v>1</v>
      </c>
      <c r="J305">
        <v>0.73</v>
      </c>
    </row>
    <row r="306" spans="1:10" x14ac:dyDescent="0.35">
      <c r="A306">
        <v>313</v>
      </c>
      <c r="B306" t="str">
        <f>IF(Table1[[#This Row],[GRE Score]]&lt;=310,"300–310", IF(Table1[[#This Row],[GRE Score]]&lt;=320,"310–320", IF(Table1[[#This Row],[GRE Score]]&lt;=330,"320–330","330+")))</f>
        <v>310–320</v>
      </c>
      <c r="C306">
        <v>106</v>
      </c>
      <c r="D306">
        <v>2</v>
      </c>
      <c r="E306">
        <v>2.5</v>
      </c>
      <c r="F306">
        <v>2</v>
      </c>
      <c r="G306">
        <v>8.43</v>
      </c>
      <c r="H306" t="str">
        <f t="shared" si="4"/>
        <v>8.0–8.5</v>
      </c>
      <c r="I306">
        <v>0</v>
      </c>
      <c r="J306">
        <v>0.62</v>
      </c>
    </row>
    <row r="307" spans="1:10" x14ac:dyDescent="0.35">
      <c r="A307">
        <v>321</v>
      </c>
      <c r="B307" t="str">
        <f>IF(Table1[[#This Row],[GRE Score]]&lt;=310,"300–310", IF(Table1[[#This Row],[GRE Score]]&lt;=320,"310–320", IF(Table1[[#This Row],[GRE Score]]&lt;=330,"320–330","330+")))</f>
        <v>320–330</v>
      </c>
      <c r="C307">
        <v>109</v>
      </c>
      <c r="D307">
        <v>3</v>
      </c>
      <c r="E307">
        <v>3.5</v>
      </c>
      <c r="F307">
        <v>3.5</v>
      </c>
      <c r="G307">
        <v>8.8000000000000007</v>
      </c>
      <c r="H307" t="str">
        <f t="shared" si="4"/>
        <v>8.5–9.0</v>
      </c>
      <c r="I307">
        <v>1</v>
      </c>
      <c r="J307">
        <v>0.74</v>
      </c>
    </row>
    <row r="308" spans="1:10" x14ac:dyDescent="0.35">
      <c r="A308">
        <v>323</v>
      </c>
      <c r="B308" t="str">
        <f>IF(Table1[[#This Row],[GRE Score]]&lt;=310,"300–310", IF(Table1[[#This Row],[GRE Score]]&lt;=320,"310–320", IF(Table1[[#This Row],[GRE Score]]&lt;=330,"320–330","330+")))</f>
        <v>320–330</v>
      </c>
      <c r="C308">
        <v>110</v>
      </c>
      <c r="D308">
        <v>3</v>
      </c>
      <c r="E308">
        <v>4</v>
      </c>
      <c r="F308">
        <v>3.5</v>
      </c>
      <c r="G308">
        <v>9.1</v>
      </c>
      <c r="H308" t="str">
        <f t="shared" si="4"/>
        <v>9.0+</v>
      </c>
      <c r="I308">
        <v>1</v>
      </c>
      <c r="J308">
        <v>0.79</v>
      </c>
    </row>
    <row r="309" spans="1:10" x14ac:dyDescent="0.35">
      <c r="A309">
        <v>325</v>
      </c>
      <c r="B309" t="str">
        <f>IF(Table1[[#This Row],[GRE Score]]&lt;=310,"300–310", IF(Table1[[#This Row],[GRE Score]]&lt;=320,"310–320", IF(Table1[[#This Row],[GRE Score]]&lt;=330,"320–330","330+")))</f>
        <v>320–330</v>
      </c>
      <c r="C309">
        <v>112</v>
      </c>
      <c r="D309">
        <v>4</v>
      </c>
      <c r="E309">
        <v>4</v>
      </c>
      <c r="F309">
        <v>4</v>
      </c>
      <c r="G309">
        <v>9</v>
      </c>
      <c r="H309" t="str">
        <f t="shared" si="4"/>
        <v>9.0+</v>
      </c>
      <c r="I309">
        <v>1</v>
      </c>
      <c r="J309">
        <v>0.8</v>
      </c>
    </row>
    <row r="310" spans="1:10" x14ac:dyDescent="0.35">
      <c r="A310">
        <v>312</v>
      </c>
      <c r="B310" t="str">
        <f>IF(Table1[[#This Row],[GRE Score]]&lt;=310,"300–310", IF(Table1[[#This Row],[GRE Score]]&lt;=320,"310–320", IF(Table1[[#This Row],[GRE Score]]&lt;=330,"320–330","330+")))</f>
        <v>310–320</v>
      </c>
      <c r="C310">
        <v>108</v>
      </c>
      <c r="D310">
        <v>3</v>
      </c>
      <c r="E310">
        <v>3.5</v>
      </c>
      <c r="F310">
        <v>3</v>
      </c>
      <c r="G310">
        <v>8.5299999999999994</v>
      </c>
      <c r="H310" t="str">
        <f t="shared" si="4"/>
        <v>8.5–9.0</v>
      </c>
      <c r="I310">
        <v>0</v>
      </c>
      <c r="J310">
        <v>0.69</v>
      </c>
    </row>
    <row r="311" spans="1:10" x14ac:dyDescent="0.35">
      <c r="A311">
        <v>308</v>
      </c>
      <c r="B311" t="str">
        <f>IF(Table1[[#This Row],[GRE Score]]&lt;=310,"300–310", IF(Table1[[#This Row],[GRE Score]]&lt;=320,"310–320", IF(Table1[[#This Row],[GRE Score]]&lt;=330,"320–330","330+")))</f>
        <v>300–310</v>
      </c>
      <c r="C311">
        <v>110</v>
      </c>
      <c r="D311">
        <v>4</v>
      </c>
      <c r="E311">
        <v>3.5</v>
      </c>
      <c r="F311">
        <v>3</v>
      </c>
      <c r="G311">
        <v>8.6</v>
      </c>
      <c r="H311" t="str">
        <f t="shared" si="4"/>
        <v>8.5–9.0</v>
      </c>
      <c r="I311">
        <v>0</v>
      </c>
      <c r="J311">
        <v>0.7</v>
      </c>
    </row>
    <row r="312" spans="1:10" x14ac:dyDescent="0.35">
      <c r="A312">
        <v>320</v>
      </c>
      <c r="B312" t="str">
        <f>IF(Table1[[#This Row],[GRE Score]]&lt;=310,"300–310", IF(Table1[[#This Row],[GRE Score]]&lt;=320,"310–320", IF(Table1[[#This Row],[GRE Score]]&lt;=330,"320–330","330+")))</f>
        <v>310–320</v>
      </c>
      <c r="C312">
        <v>104</v>
      </c>
      <c r="D312">
        <v>3</v>
      </c>
      <c r="E312">
        <v>3</v>
      </c>
      <c r="F312">
        <v>3.5</v>
      </c>
      <c r="G312">
        <v>8.74</v>
      </c>
      <c r="H312" t="str">
        <f t="shared" si="4"/>
        <v>8.5–9.0</v>
      </c>
      <c r="I312">
        <v>1</v>
      </c>
      <c r="J312">
        <v>0.76</v>
      </c>
    </row>
    <row r="313" spans="1:10" x14ac:dyDescent="0.35">
      <c r="A313">
        <v>328</v>
      </c>
      <c r="B313" t="str">
        <f>IF(Table1[[#This Row],[GRE Score]]&lt;=310,"300–310", IF(Table1[[#This Row],[GRE Score]]&lt;=320,"310–320", IF(Table1[[#This Row],[GRE Score]]&lt;=330,"320–330","330+")))</f>
        <v>320–330</v>
      </c>
      <c r="C313">
        <v>108</v>
      </c>
      <c r="D313">
        <v>4</v>
      </c>
      <c r="E313">
        <v>4.5</v>
      </c>
      <c r="F313">
        <v>4</v>
      </c>
      <c r="G313">
        <v>9.18</v>
      </c>
      <c r="H313" t="str">
        <f t="shared" si="4"/>
        <v>9.0+</v>
      </c>
      <c r="I313">
        <v>1</v>
      </c>
      <c r="J313">
        <v>0.84</v>
      </c>
    </row>
    <row r="314" spans="1:10" x14ac:dyDescent="0.35">
      <c r="A314">
        <v>311</v>
      </c>
      <c r="B314" t="str">
        <f>IF(Table1[[#This Row],[GRE Score]]&lt;=310,"300–310", IF(Table1[[#This Row],[GRE Score]]&lt;=320,"310–320", IF(Table1[[#This Row],[GRE Score]]&lt;=330,"320–330","330+")))</f>
        <v>310–320</v>
      </c>
      <c r="C314">
        <v>107</v>
      </c>
      <c r="D314">
        <v>4</v>
      </c>
      <c r="E314">
        <v>4.5</v>
      </c>
      <c r="F314">
        <v>4.5</v>
      </c>
      <c r="G314">
        <v>9</v>
      </c>
      <c r="H314" t="str">
        <f t="shared" si="4"/>
        <v>9.0+</v>
      </c>
      <c r="I314">
        <v>1</v>
      </c>
      <c r="J314">
        <v>0.78</v>
      </c>
    </row>
    <row r="315" spans="1:10" x14ac:dyDescent="0.35">
      <c r="A315">
        <v>301</v>
      </c>
      <c r="B315" t="str">
        <f>IF(Table1[[#This Row],[GRE Score]]&lt;=310,"300–310", IF(Table1[[#This Row],[GRE Score]]&lt;=320,"310–320", IF(Table1[[#This Row],[GRE Score]]&lt;=330,"320–330","330+")))</f>
        <v>300–310</v>
      </c>
      <c r="C315">
        <v>100</v>
      </c>
      <c r="D315">
        <v>3</v>
      </c>
      <c r="E315">
        <v>3.5</v>
      </c>
      <c r="F315">
        <v>3</v>
      </c>
      <c r="G315">
        <v>8.0399999999999991</v>
      </c>
      <c r="H315" t="str">
        <f t="shared" si="4"/>
        <v>8.0–8.5</v>
      </c>
      <c r="I315">
        <v>0</v>
      </c>
      <c r="J315">
        <v>0.67</v>
      </c>
    </row>
    <row r="316" spans="1:10" x14ac:dyDescent="0.35">
      <c r="A316">
        <v>305</v>
      </c>
      <c r="B316" t="str">
        <f>IF(Table1[[#This Row],[GRE Score]]&lt;=310,"300–310", IF(Table1[[#This Row],[GRE Score]]&lt;=320,"310–320", IF(Table1[[#This Row],[GRE Score]]&lt;=330,"320–330","330+")))</f>
        <v>300–310</v>
      </c>
      <c r="C316">
        <v>105</v>
      </c>
      <c r="D316">
        <v>2</v>
      </c>
      <c r="E316">
        <v>3</v>
      </c>
      <c r="F316">
        <v>4</v>
      </c>
      <c r="G316">
        <v>8.1300000000000008</v>
      </c>
      <c r="H316" t="str">
        <f t="shared" si="4"/>
        <v>8.0–8.5</v>
      </c>
      <c r="I316">
        <v>0</v>
      </c>
      <c r="J316">
        <v>0.66</v>
      </c>
    </row>
    <row r="317" spans="1:10" x14ac:dyDescent="0.35">
      <c r="A317">
        <v>308</v>
      </c>
      <c r="B317" t="str">
        <f>IF(Table1[[#This Row],[GRE Score]]&lt;=310,"300–310", IF(Table1[[#This Row],[GRE Score]]&lt;=320,"310–320", IF(Table1[[#This Row],[GRE Score]]&lt;=330,"320–330","330+")))</f>
        <v>300–310</v>
      </c>
      <c r="C317">
        <v>104</v>
      </c>
      <c r="D317">
        <v>2</v>
      </c>
      <c r="E317">
        <v>2.5</v>
      </c>
      <c r="F317">
        <v>3</v>
      </c>
      <c r="G317">
        <v>8.07</v>
      </c>
      <c r="H317" t="str">
        <f t="shared" si="4"/>
        <v>8.0–8.5</v>
      </c>
      <c r="I317">
        <v>0</v>
      </c>
      <c r="J317">
        <v>0.65</v>
      </c>
    </row>
    <row r="318" spans="1:10" x14ac:dyDescent="0.35">
      <c r="A318">
        <v>298</v>
      </c>
      <c r="B318" t="str">
        <f>IF(Table1[[#This Row],[GRE Score]]&lt;=310,"300–310", IF(Table1[[#This Row],[GRE Score]]&lt;=320,"310–320", IF(Table1[[#This Row],[GRE Score]]&lt;=330,"320–330","330+")))</f>
        <v>300–310</v>
      </c>
      <c r="C318">
        <v>101</v>
      </c>
      <c r="D318">
        <v>2</v>
      </c>
      <c r="E318">
        <v>1.5</v>
      </c>
      <c r="F318">
        <v>2</v>
      </c>
      <c r="G318">
        <v>7.86</v>
      </c>
      <c r="H318" t="str">
        <f t="shared" si="4"/>
        <v>7.5–8.0</v>
      </c>
      <c r="I318">
        <v>0</v>
      </c>
      <c r="J318">
        <v>0.54</v>
      </c>
    </row>
    <row r="319" spans="1:10" x14ac:dyDescent="0.35">
      <c r="A319">
        <v>300</v>
      </c>
      <c r="B319" t="str">
        <f>IF(Table1[[#This Row],[GRE Score]]&lt;=310,"300–310", IF(Table1[[#This Row],[GRE Score]]&lt;=320,"310–320", IF(Table1[[#This Row],[GRE Score]]&lt;=330,"320–330","330+")))</f>
        <v>300–310</v>
      </c>
      <c r="C319">
        <v>99</v>
      </c>
      <c r="D319">
        <v>1</v>
      </c>
      <c r="E319">
        <v>1</v>
      </c>
      <c r="F319">
        <v>2.5</v>
      </c>
      <c r="G319">
        <v>8.01</v>
      </c>
      <c r="H319" t="str">
        <f t="shared" si="4"/>
        <v>8.0–8.5</v>
      </c>
      <c r="I319">
        <v>0</v>
      </c>
      <c r="J319">
        <v>0.57999999999999996</v>
      </c>
    </row>
    <row r="320" spans="1:10" x14ac:dyDescent="0.35">
      <c r="A320">
        <v>324</v>
      </c>
      <c r="B320" t="str">
        <f>IF(Table1[[#This Row],[GRE Score]]&lt;=310,"300–310", IF(Table1[[#This Row],[GRE Score]]&lt;=320,"310–320", IF(Table1[[#This Row],[GRE Score]]&lt;=330,"320–330","330+")))</f>
        <v>320–330</v>
      </c>
      <c r="C320">
        <v>111</v>
      </c>
      <c r="D320">
        <v>3</v>
      </c>
      <c r="E320">
        <v>2.5</v>
      </c>
      <c r="F320">
        <v>2</v>
      </c>
      <c r="G320">
        <v>8.8000000000000007</v>
      </c>
      <c r="H320" t="str">
        <f t="shared" si="4"/>
        <v>8.5–9.0</v>
      </c>
      <c r="I320">
        <v>1</v>
      </c>
      <c r="J320">
        <v>0.79</v>
      </c>
    </row>
    <row r="321" spans="1:10" x14ac:dyDescent="0.35">
      <c r="A321">
        <v>327</v>
      </c>
      <c r="B321" t="str">
        <f>IF(Table1[[#This Row],[GRE Score]]&lt;=310,"300–310", IF(Table1[[#This Row],[GRE Score]]&lt;=320,"310–320", IF(Table1[[#This Row],[GRE Score]]&lt;=330,"320–330","330+")))</f>
        <v>320–330</v>
      </c>
      <c r="C321">
        <v>113</v>
      </c>
      <c r="D321">
        <v>4</v>
      </c>
      <c r="E321">
        <v>3.5</v>
      </c>
      <c r="F321">
        <v>3</v>
      </c>
      <c r="G321">
        <v>8.69</v>
      </c>
      <c r="H321" t="str">
        <f t="shared" si="4"/>
        <v>8.5–9.0</v>
      </c>
      <c r="I321">
        <v>1</v>
      </c>
      <c r="J321">
        <v>0.8</v>
      </c>
    </row>
    <row r="322" spans="1:10" x14ac:dyDescent="0.35">
      <c r="A322">
        <v>317</v>
      </c>
      <c r="B322" t="str">
        <f>IF(Table1[[#This Row],[GRE Score]]&lt;=310,"300–310", IF(Table1[[#This Row],[GRE Score]]&lt;=320,"310–320", IF(Table1[[#This Row],[GRE Score]]&lt;=330,"320–330","330+")))</f>
        <v>310–320</v>
      </c>
      <c r="C322">
        <v>106</v>
      </c>
      <c r="D322">
        <v>3</v>
      </c>
      <c r="E322">
        <v>4</v>
      </c>
      <c r="F322">
        <v>3.5</v>
      </c>
      <c r="G322">
        <v>8.5</v>
      </c>
      <c r="H322" t="str">
        <f t="shared" ref="H322:H385" si="5">IF(G322&lt;8,"7.5–8.0",
IF(G322&lt;8.5,"8.0–8.5",
IF(G322&lt;9,"8.5–9.0","9.0+")))</f>
        <v>8.5–9.0</v>
      </c>
      <c r="I322">
        <v>1</v>
      </c>
      <c r="J322">
        <v>0.75</v>
      </c>
    </row>
    <row r="323" spans="1:10" x14ac:dyDescent="0.35">
      <c r="A323">
        <v>323</v>
      </c>
      <c r="B323" t="str">
        <f>IF(Table1[[#This Row],[GRE Score]]&lt;=310,"300–310", IF(Table1[[#This Row],[GRE Score]]&lt;=320,"310–320", IF(Table1[[#This Row],[GRE Score]]&lt;=330,"320–330","330+")))</f>
        <v>320–330</v>
      </c>
      <c r="C323">
        <v>104</v>
      </c>
      <c r="D323">
        <v>3</v>
      </c>
      <c r="E323">
        <v>4</v>
      </c>
      <c r="F323">
        <v>4</v>
      </c>
      <c r="G323">
        <v>8.44</v>
      </c>
      <c r="H323" t="str">
        <f t="shared" si="5"/>
        <v>8.0–8.5</v>
      </c>
      <c r="I323">
        <v>1</v>
      </c>
      <c r="J323">
        <v>0.73</v>
      </c>
    </row>
    <row r="324" spans="1:10" x14ac:dyDescent="0.35">
      <c r="A324">
        <v>314</v>
      </c>
      <c r="B324" t="str">
        <f>IF(Table1[[#This Row],[GRE Score]]&lt;=310,"300–310", IF(Table1[[#This Row],[GRE Score]]&lt;=320,"310–320", IF(Table1[[#This Row],[GRE Score]]&lt;=330,"320–330","330+")))</f>
        <v>310–320</v>
      </c>
      <c r="C324">
        <v>107</v>
      </c>
      <c r="D324">
        <v>2</v>
      </c>
      <c r="E324">
        <v>2.5</v>
      </c>
      <c r="F324">
        <v>4</v>
      </c>
      <c r="G324">
        <v>8.27</v>
      </c>
      <c r="H324" t="str">
        <f t="shared" si="5"/>
        <v>8.0–8.5</v>
      </c>
      <c r="I324">
        <v>0</v>
      </c>
      <c r="J324">
        <v>0.72</v>
      </c>
    </row>
    <row r="325" spans="1:10" x14ac:dyDescent="0.35">
      <c r="A325">
        <v>305</v>
      </c>
      <c r="B325" t="str">
        <f>IF(Table1[[#This Row],[GRE Score]]&lt;=310,"300–310", IF(Table1[[#This Row],[GRE Score]]&lt;=320,"310–320", IF(Table1[[#This Row],[GRE Score]]&lt;=330,"320–330","330+")))</f>
        <v>300–310</v>
      </c>
      <c r="C325">
        <v>102</v>
      </c>
      <c r="D325">
        <v>2</v>
      </c>
      <c r="E325">
        <v>2</v>
      </c>
      <c r="F325">
        <v>2.5</v>
      </c>
      <c r="G325">
        <v>8.18</v>
      </c>
      <c r="H325" t="str">
        <f t="shared" si="5"/>
        <v>8.0–8.5</v>
      </c>
      <c r="I325">
        <v>0</v>
      </c>
      <c r="J325">
        <v>0.62</v>
      </c>
    </row>
    <row r="326" spans="1:10" x14ac:dyDescent="0.35">
      <c r="A326">
        <v>315</v>
      </c>
      <c r="B326" t="str">
        <f>IF(Table1[[#This Row],[GRE Score]]&lt;=310,"300–310", IF(Table1[[#This Row],[GRE Score]]&lt;=320,"310–320", IF(Table1[[#This Row],[GRE Score]]&lt;=330,"320–330","330+")))</f>
        <v>310–320</v>
      </c>
      <c r="C326">
        <v>104</v>
      </c>
      <c r="D326">
        <v>3</v>
      </c>
      <c r="E326">
        <v>3</v>
      </c>
      <c r="F326">
        <v>2.5</v>
      </c>
      <c r="G326">
        <v>8.33</v>
      </c>
      <c r="H326" t="str">
        <f t="shared" si="5"/>
        <v>8.0–8.5</v>
      </c>
      <c r="I326">
        <v>0</v>
      </c>
      <c r="J326">
        <v>0.67</v>
      </c>
    </row>
    <row r="327" spans="1:10" x14ac:dyDescent="0.35">
      <c r="A327">
        <v>326</v>
      </c>
      <c r="B327" t="str">
        <f>IF(Table1[[#This Row],[GRE Score]]&lt;=310,"300–310", IF(Table1[[#This Row],[GRE Score]]&lt;=320,"310–320", IF(Table1[[#This Row],[GRE Score]]&lt;=330,"320–330","330+")))</f>
        <v>320–330</v>
      </c>
      <c r="C327">
        <v>116</v>
      </c>
      <c r="D327">
        <v>3</v>
      </c>
      <c r="E327">
        <v>3.5</v>
      </c>
      <c r="F327">
        <v>4</v>
      </c>
      <c r="G327">
        <v>9.14</v>
      </c>
      <c r="H327" t="str">
        <f t="shared" si="5"/>
        <v>9.0+</v>
      </c>
      <c r="I327">
        <v>1</v>
      </c>
      <c r="J327">
        <v>0.81</v>
      </c>
    </row>
    <row r="328" spans="1:10" x14ac:dyDescent="0.35">
      <c r="A328">
        <v>299</v>
      </c>
      <c r="B328" t="str">
        <f>IF(Table1[[#This Row],[GRE Score]]&lt;=310,"300–310", IF(Table1[[#This Row],[GRE Score]]&lt;=320,"310–320", IF(Table1[[#This Row],[GRE Score]]&lt;=330,"320–330","330+")))</f>
        <v>300–310</v>
      </c>
      <c r="C328">
        <v>100</v>
      </c>
      <c r="D328">
        <v>3</v>
      </c>
      <c r="E328">
        <v>2</v>
      </c>
      <c r="F328">
        <v>2</v>
      </c>
      <c r="G328">
        <v>8.02</v>
      </c>
      <c r="H328" t="str">
        <f t="shared" si="5"/>
        <v>8.0–8.5</v>
      </c>
      <c r="I328">
        <v>0</v>
      </c>
      <c r="J328">
        <v>0.63</v>
      </c>
    </row>
    <row r="329" spans="1:10" x14ac:dyDescent="0.35">
      <c r="A329">
        <v>295</v>
      </c>
      <c r="B329" t="str">
        <f>IF(Table1[[#This Row],[GRE Score]]&lt;=310,"300–310", IF(Table1[[#This Row],[GRE Score]]&lt;=320,"310–320", IF(Table1[[#This Row],[GRE Score]]&lt;=330,"320–330","330+")))</f>
        <v>300–310</v>
      </c>
      <c r="C329">
        <v>101</v>
      </c>
      <c r="D329">
        <v>2</v>
      </c>
      <c r="E329">
        <v>2.5</v>
      </c>
      <c r="F329">
        <v>2</v>
      </c>
      <c r="G329">
        <v>7.86</v>
      </c>
      <c r="H329" t="str">
        <f t="shared" si="5"/>
        <v>7.5–8.0</v>
      </c>
      <c r="I329">
        <v>0</v>
      </c>
      <c r="J329">
        <v>0.69</v>
      </c>
    </row>
    <row r="330" spans="1:10" x14ac:dyDescent="0.35">
      <c r="A330">
        <v>324</v>
      </c>
      <c r="B330" t="str">
        <f>IF(Table1[[#This Row],[GRE Score]]&lt;=310,"300–310", IF(Table1[[#This Row],[GRE Score]]&lt;=320,"310–320", IF(Table1[[#This Row],[GRE Score]]&lt;=330,"320–330","330+")))</f>
        <v>320–330</v>
      </c>
      <c r="C330">
        <v>112</v>
      </c>
      <c r="D330">
        <v>4</v>
      </c>
      <c r="E330">
        <v>4</v>
      </c>
      <c r="F330">
        <v>3.5</v>
      </c>
      <c r="G330">
        <v>8.77</v>
      </c>
      <c r="H330" t="str">
        <f t="shared" si="5"/>
        <v>8.5–9.0</v>
      </c>
      <c r="I330">
        <v>1</v>
      </c>
      <c r="J330">
        <v>0.8</v>
      </c>
    </row>
    <row r="331" spans="1:10" x14ac:dyDescent="0.35">
      <c r="A331">
        <v>297</v>
      </c>
      <c r="B331" t="str">
        <f>IF(Table1[[#This Row],[GRE Score]]&lt;=310,"300–310", IF(Table1[[#This Row],[GRE Score]]&lt;=320,"310–320", IF(Table1[[#This Row],[GRE Score]]&lt;=330,"320–330","330+")))</f>
        <v>300–310</v>
      </c>
      <c r="C331">
        <v>96</v>
      </c>
      <c r="D331">
        <v>2</v>
      </c>
      <c r="E331">
        <v>2.5</v>
      </c>
      <c r="F331">
        <v>1.5</v>
      </c>
      <c r="G331">
        <v>7.89</v>
      </c>
      <c r="H331" t="str">
        <f t="shared" si="5"/>
        <v>7.5–8.0</v>
      </c>
      <c r="I331">
        <v>0</v>
      </c>
      <c r="J331">
        <v>0.43</v>
      </c>
    </row>
    <row r="332" spans="1:10" x14ac:dyDescent="0.35">
      <c r="A332">
        <v>327</v>
      </c>
      <c r="B332" t="str">
        <f>IF(Table1[[#This Row],[GRE Score]]&lt;=310,"300–310", IF(Table1[[#This Row],[GRE Score]]&lt;=320,"310–320", IF(Table1[[#This Row],[GRE Score]]&lt;=330,"320–330","330+")))</f>
        <v>320–330</v>
      </c>
      <c r="C332">
        <v>113</v>
      </c>
      <c r="D332">
        <v>3</v>
      </c>
      <c r="E332">
        <v>3.5</v>
      </c>
      <c r="F332">
        <v>3</v>
      </c>
      <c r="G332">
        <v>8.66</v>
      </c>
      <c r="H332" t="str">
        <f t="shared" si="5"/>
        <v>8.5–9.0</v>
      </c>
      <c r="I332">
        <v>1</v>
      </c>
      <c r="J332">
        <v>0.8</v>
      </c>
    </row>
    <row r="333" spans="1:10" x14ac:dyDescent="0.35">
      <c r="A333">
        <v>311</v>
      </c>
      <c r="B333" t="str">
        <f>IF(Table1[[#This Row],[GRE Score]]&lt;=310,"300–310", IF(Table1[[#This Row],[GRE Score]]&lt;=320,"310–320", IF(Table1[[#This Row],[GRE Score]]&lt;=330,"320–330","330+")))</f>
        <v>310–320</v>
      </c>
      <c r="C333">
        <v>105</v>
      </c>
      <c r="D333">
        <v>2</v>
      </c>
      <c r="E333">
        <v>3</v>
      </c>
      <c r="F333">
        <v>2</v>
      </c>
      <c r="G333">
        <v>8.1199999999999992</v>
      </c>
      <c r="H333" t="str">
        <f t="shared" si="5"/>
        <v>8.0–8.5</v>
      </c>
      <c r="I333">
        <v>1</v>
      </c>
      <c r="J333">
        <v>0.73</v>
      </c>
    </row>
    <row r="334" spans="1:10" x14ac:dyDescent="0.35">
      <c r="A334">
        <v>308</v>
      </c>
      <c r="B334" t="str">
        <f>IF(Table1[[#This Row],[GRE Score]]&lt;=310,"300–310", IF(Table1[[#This Row],[GRE Score]]&lt;=320,"310–320", IF(Table1[[#This Row],[GRE Score]]&lt;=330,"320–330","330+")))</f>
        <v>300–310</v>
      </c>
      <c r="C334">
        <v>106</v>
      </c>
      <c r="D334">
        <v>3</v>
      </c>
      <c r="E334">
        <v>3.5</v>
      </c>
      <c r="F334">
        <v>2.5</v>
      </c>
      <c r="G334">
        <v>8.2100000000000009</v>
      </c>
      <c r="H334" t="str">
        <f t="shared" si="5"/>
        <v>8.0–8.5</v>
      </c>
      <c r="I334">
        <v>1</v>
      </c>
      <c r="J334">
        <v>0.75</v>
      </c>
    </row>
    <row r="335" spans="1:10" x14ac:dyDescent="0.35">
      <c r="A335">
        <v>319</v>
      </c>
      <c r="B335" t="str">
        <f>IF(Table1[[#This Row],[GRE Score]]&lt;=310,"300–310", IF(Table1[[#This Row],[GRE Score]]&lt;=320,"310–320", IF(Table1[[#This Row],[GRE Score]]&lt;=330,"320–330","330+")))</f>
        <v>310–320</v>
      </c>
      <c r="C335">
        <v>108</v>
      </c>
      <c r="D335">
        <v>3</v>
      </c>
      <c r="E335">
        <v>3</v>
      </c>
      <c r="F335">
        <v>3.5</v>
      </c>
      <c r="G335">
        <v>8.5399999999999991</v>
      </c>
      <c r="H335" t="str">
        <f t="shared" si="5"/>
        <v>8.5–9.0</v>
      </c>
      <c r="I335">
        <v>1</v>
      </c>
      <c r="J335">
        <v>0.71</v>
      </c>
    </row>
    <row r="336" spans="1:10" x14ac:dyDescent="0.35">
      <c r="A336">
        <v>312</v>
      </c>
      <c r="B336" t="str">
        <f>IF(Table1[[#This Row],[GRE Score]]&lt;=310,"300–310", IF(Table1[[#This Row],[GRE Score]]&lt;=320,"310–320", IF(Table1[[#This Row],[GRE Score]]&lt;=330,"320–330","330+")))</f>
        <v>310–320</v>
      </c>
      <c r="C336">
        <v>107</v>
      </c>
      <c r="D336">
        <v>4</v>
      </c>
      <c r="E336">
        <v>4.5</v>
      </c>
      <c r="F336">
        <v>4</v>
      </c>
      <c r="G336">
        <v>8.65</v>
      </c>
      <c r="H336" t="str">
        <f t="shared" si="5"/>
        <v>8.5–9.0</v>
      </c>
      <c r="I336">
        <v>1</v>
      </c>
      <c r="J336">
        <v>0.73</v>
      </c>
    </row>
    <row r="337" spans="1:10" x14ac:dyDescent="0.35">
      <c r="A337">
        <v>325</v>
      </c>
      <c r="B337" t="str">
        <f>IF(Table1[[#This Row],[GRE Score]]&lt;=310,"300–310", IF(Table1[[#This Row],[GRE Score]]&lt;=320,"310–320", IF(Table1[[#This Row],[GRE Score]]&lt;=330,"320–330","330+")))</f>
        <v>320–330</v>
      </c>
      <c r="C337">
        <v>111</v>
      </c>
      <c r="D337">
        <v>4</v>
      </c>
      <c r="E337">
        <v>4</v>
      </c>
      <c r="F337">
        <v>4.5</v>
      </c>
      <c r="G337">
        <v>9.11</v>
      </c>
      <c r="H337" t="str">
        <f t="shared" si="5"/>
        <v>9.0+</v>
      </c>
      <c r="I337">
        <v>1</v>
      </c>
      <c r="J337">
        <v>0.83</v>
      </c>
    </row>
    <row r="338" spans="1:10" x14ac:dyDescent="0.35">
      <c r="A338">
        <v>319</v>
      </c>
      <c r="B338" t="str">
        <f>IF(Table1[[#This Row],[GRE Score]]&lt;=310,"300–310", IF(Table1[[#This Row],[GRE Score]]&lt;=320,"310–320", IF(Table1[[#This Row],[GRE Score]]&lt;=330,"320–330","330+")))</f>
        <v>310–320</v>
      </c>
      <c r="C338">
        <v>110</v>
      </c>
      <c r="D338">
        <v>3</v>
      </c>
      <c r="E338">
        <v>3</v>
      </c>
      <c r="F338">
        <v>2.5</v>
      </c>
      <c r="G338">
        <v>8.7899999999999991</v>
      </c>
      <c r="H338" t="str">
        <f t="shared" si="5"/>
        <v>8.5–9.0</v>
      </c>
      <c r="I338">
        <v>0</v>
      </c>
      <c r="J338">
        <v>0.72</v>
      </c>
    </row>
    <row r="339" spans="1:10" x14ac:dyDescent="0.35">
      <c r="A339">
        <v>332</v>
      </c>
      <c r="B339" t="str">
        <f>IF(Table1[[#This Row],[GRE Score]]&lt;=310,"300–310", IF(Table1[[#This Row],[GRE Score]]&lt;=320,"310–320", IF(Table1[[#This Row],[GRE Score]]&lt;=330,"320–330","330+")))</f>
        <v>330+</v>
      </c>
      <c r="C339">
        <v>118</v>
      </c>
      <c r="D339">
        <v>5</v>
      </c>
      <c r="E339">
        <v>5</v>
      </c>
      <c r="F339">
        <v>5</v>
      </c>
      <c r="G339">
        <v>9.4700000000000006</v>
      </c>
      <c r="H339" t="str">
        <f t="shared" si="5"/>
        <v>9.0+</v>
      </c>
      <c r="I339">
        <v>1</v>
      </c>
      <c r="J339">
        <v>0.94</v>
      </c>
    </row>
    <row r="340" spans="1:10" x14ac:dyDescent="0.35">
      <c r="A340">
        <v>323</v>
      </c>
      <c r="B340" t="str">
        <f>IF(Table1[[#This Row],[GRE Score]]&lt;=310,"300–310", IF(Table1[[#This Row],[GRE Score]]&lt;=320,"310–320", IF(Table1[[#This Row],[GRE Score]]&lt;=330,"320–330","330+")))</f>
        <v>320–330</v>
      </c>
      <c r="C340">
        <v>108</v>
      </c>
      <c r="D340">
        <v>5</v>
      </c>
      <c r="E340">
        <v>4</v>
      </c>
      <c r="F340">
        <v>4</v>
      </c>
      <c r="G340">
        <v>8.74</v>
      </c>
      <c r="H340" t="str">
        <f t="shared" si="5"/>
        <v>8.5–9.0</v>
      </c>
      <c r="I340">
        <v>1</v>
      </c>
      <c r="J340">
        <v>0.81</v>
      </c>
    </row>
    <row r="341" spans="1:10" x14ac:dyDescent="0.35">
      <c r="A341">
        <v>324</v>
      </c>
      <c r="B341" t="str">
        <f>IF(Table1[[#This Row],[GRE Score]]&lt;=310,"300–310", IF(Table1[[#This Row],[GRE Score]]&lt;=320,"310–320", IF(Table1[[#This Row],[GRE Score]]&lt;=330,"320–330","330+")))</f>
        <v>320–330</v>
      </c>
      <c r="C341">
        <v>107</v>
      </c>
      <c r="D341">
        <v>5</v>
      </c>
      <c r="E341">
        <v>3.5</v>
      </c>
      <c r="F341">
        <v>4</v>
      </c>
      <c r="G341">
        <v>8.66</v>
      </c>
      <c r="H341" t="str">
        <f t="shared" si="5"/>
        <v>8.5–9.0</v>
      </c>
      <c r="I341">
        <v>1</v>
      </c>
      <c r="J341">
        <v>0.81</v>
      </c>
    </row>
    <row r="342" spans="1:10" x14ac:dyDescent="0.35">
      <c r="A342">
        <v>312</v>
      </c>
      <c r="B342" t="str">
        <f>IF(Table1[[#This Row],[GRE Score]]&lt;=310,"300–310", IF(Table1[[#This Row],[GRE Score]]&lt;=320,"310–320", IF(Table1[[#This Row],[GRE Score]]&lt;=330,"320–330","330+")))</f>
        <v>310–320</v>
      </c>
      <c r="C342">
        <v>107</v>
      </c>
      <c r="D342">
        <v>3</v>
      </c>
      <c r="E342">
        <v>3</v>
      </c>
      <c r="F342">
        <v>3</v>
      </c>
      <c r="G342">
        <v>8.4600000000000009</v>
      </c>
      <c r="H342" t="str">
        <f t="shared" si="5"/>
        <v>8.0–8.5</v>
      </c>
      <c r="I342">
        <v>1</v>
      </c>
      <c r="J342">
        <v>0.75</v>
      </c>
    </row>
    <row r="343" spans="1:10" x14ac:dyDescent="0.35">
      <c r="A343">
        <v>326</v>
      </c>
      <c r="B343" t="str">
        <f>IF(Table1[[#This Row],[GRE Score]]&lt;=310,"300–310", IF(Table1[[#This Row],[GRE Score]]&lt;=320,"310–320", IF(Table1[[#This Row],[GRE Score]]&lt;=330,"320–330","330+")))</f>
        <v>320–330</v>
      </c>
      <c r="C343">
        <v>110</v>
      </c>
      <c r="D343">
        <v>3</v>
      </c>
      <c r="E343">
        <v>3.5</v>
      </c>
      <c r="F343">
        <v>3.5</v>
      </c>
      <c r="G343">
        <v>8.76</v>
      </c>
      <c r="H343" t="str">
        <f t="shared" si="5"/>
        <v>8.5–9.0</v>
      </c>
      <c r="I343">
        <v>1</v>
      </c>
      <c r="J343">
        <v>0.79</v>
      </c>
    </row>
    <row r="344" spans="1:10" x14ac:dyDescent="0.35">
      <c r="A344">
        <v>308</v>
      </c>
      <c r="B344" t="str">
        <f>IF(Table1[[#This Row],[GRE Score]]&lt;=310,"300–310", IF(Table1[[#This Row],[GRE Score]]&lt;=320,"310–320", IF(Table1[[#This Row],[GRE Score]]&lt;=330,"320–330","330+")))</f>
        <v>300–310</v>
      </c>
      <c r="C344">
        <v>106</v>
      </c>
      <c r="D344">
        <v>3</v>
      </c>
      <c r="E344">
        <v>3</v>
      </c>
      <c r="F344">
        <v>3</v>
      </c>
      <c r="G344">
        <v>8.24</v>
      </c>
      <c r="H344" t="str">
        <f t="shared" si="5"/>
        <v>8.0–8.5</v>
      </c>
      <c r="I344">
        <v>0</v>
      </c>
      <c r="J344">
        <v>0.57999999999999996</v>
      </c>
    </row>
    <row r="345" spans="1:10" x14ac:dyDescent="0.35">
      <c r="A345">
        <v>305</v>
      </c>
      <c r="B345" t="str">
        <f>IF(Table1[[#This Row],[GRE Score]]&lt;=310,"300–310", IF(Table1[[#This Row],[GRE Score]]&lt;=320,"310–320", IF(Table1[[#This Row],[GRE Score]]&lt;=330,"320–330","330+")))</f>
        <v>300–310</v>
      </c>
      <c r="C345">
        <v>103</v>
      </c>
      <c r="D345">
        <v>2</v>
      </c>
      <c r="E345">
        <v>2.5</v>
      </c>
      <c r="F345">
        <v>3.5</v>
      </c>
      <c r="G345">
        <v>8.1300000000000008</v>
      </c>
      <c r="H345" t="str">
        <f t="shared" si="5"/>
        <v>8.0–8.5</v>
      </c>
      <c r="I345">
        <v>0</v>
      </c>
      <c r="J345">
        <v>0.59</v>
      </c>
    </row>
    <row r="346" spans="1:10" x14ac:dyDescent="0.35">
      <c r="A346">
        <v>295</v>
      </c>
      <c r="B346" t="str">
        <f>IF(Table1[[#This Row],[GRE Score]]&lt;=310,"300–310", IF(Table1[[#This Row],[GRE Score]]&lt;=320,"310–320", IF(Table1[[#This Row],[GRE Score]]&lt;=330,"320–330","330+")))</f>
        <v>300–310</v>
      </c>
      <c r="C346">
        <v>96</v>
      </c>
      <c r="D346">
        <v>2</v>
      </c>
      <c r="E346">
        <v>1.5</v>
      </c>
      <c r="F346">
        <v>2</v>
      </c>
      <c r="G346">
        <v>7.34</v>
      </c>
      <c r="H346" t="str">
        <f t="shared" si="5"/>
        <v>7.5–8.0</v>
      </c>
      <c r="I346">
        <v>0</v>
      </c>
      <c r="J346">
        <v>0.47</v>
      </c>
    </row>
    <row r="347" spans="1:10" x14ac:dyDescent="0.35">
      <c r="A347">
        <v>316</v>
      </c>
      <c r="B347" t="str">
        <f>IF(Table1[[#This Row],[GRE Score]]&lt;=310,"300–310", IF(Table1[[#This Row],[GRE Score]]&lt;=320,"310–320", IF(Table1[[#This Row],[GRE Score]]&lt;=330,"320–330","330+")))</f>
        <v>310–320</v>
      </c>
      <c r="C347">
        <v>98</v>
      </c>
      <c r="D347">
        <v>1</v>
      </c>
      <c r="E347">
        <v>1.5</v>
      </c>
      <c r="F347">
        <v>2</v>
      </c>
      <c r="G347">
        <v>7.43</v>
      </c>
      <c r="H347" t="str">
        <f t="shared" si="5"/>
        <v>7.5–8.0</v>
      </c>
      <c r="I347">
        <v>0</v>
      </c>
      <c r="J347">
        <v>0.49</v>
      </c>
    </row>
    <row r="348" spans="1:10" x14ac:dyDescent="0.35">
      <c r="A348">
        <v>304</v>
      </c>
      <c r="B348" t="str">
        <f>IF(Table1[[#This Row],[GRE Score]]&lt;=310,"300–310", IF(Table1[[#This Row],[GRE Score]]&lt;=320,"310–320", IF(Table1[[#This Row],[GRE Score]]&lt;=330,"320–330","330+")))</f>
        <v>300–310</v>
      </c>
      <c r="C348">
        <v>97</v>
      </c>
      <c r="D348">
        <v>2</v>
      </c>
      <c r="E348">
        <v>1.5</v>
      </c>
      <c r="F348">
        <v>2</v>
      </c>
      <c r="G348">
        <v>7.64</v>
      </c>
      <c r="H348" t="str">
        <f t="shared" si="5"/>
        <v>7.5–8.0</v>
      </c>
      <c r="I348">
        <v>0</v>
      </c>
      <c r="J348">
        <v>0.47</v>
      </c>
    </row>
    <row r="349" spans="1:10" x14ac:dyDescent="0.35">
      <c r="A349">
        <v>299</v>
      </c>
      <c r="B349" t="str">
        <f>IF(Table1[[#This Row],[GRE Score]]&lt;=310,"300–310", IF(Table1[[#This Row],[GRE Score]]&lt;=320,"310–320", IF(Table1[[#This Row],[GRE Score]]&lt;=330,"320–330","330+")))</f>
        <v>300–310</v>
      </c>
      <c r="C349">
        <v>94</v>
      </c>
      <c r="D349">
        <v>1</v>
      </c>
      <c r="E349">
        <v>1</v>
      </c>
      <c r="F349">
        <v>1</v>
      </c>
      <c r="G349">
        <v>7.34</v>
      </c>
      <c r="H349" t="str">
        <f t="shared" si="5"/>
        <v>7.5–8.0</v>
      </c>
      <c r="I349">
        <v>0</v>
      </c>
      <c r="J349">
        <v>0.42</v>
      </c>
    </row>
    <row r="350" spans="1:10" x14ac:dyDescent="0.35">
      <c r="A350">
        <v>302</v>
      </c>
      <c r="B350" t="str">
        <f>IF(Table1[[#This Row],[GRE Score]]&lt;=310,"300–310", IF(Table1[[#This Row],[GRE Score]]&lt;=320,"310–320", IF(Table1[[#This Row],[GRE Score]]&lt;=330,"320–330","330+")))</f>
        <v>300–310</v>
      </c>
      <c r="C350">
        <v>99</v>
      </c>
      <c r="D350">
        <v>1</v>
      </c>
      <c r="E350">
        <v>2</v>
      </c>
      <c r="F350">
        <v>2</v>
      </c>
      <c r="G350">
        <v>7.25</v>
      </c>
      <c r="H350" t="str">
        <f t="shared" si="5"/>
        <v>7.5–8.0</v>
      </c>
      <c r="I350">
        <v>0</v>
      </c>
      <c r="J350">
        <v>0.56999999999999995</v>
      </c>
    </row>
    <row r="351" spans="1:10" x14ac:dyDescent="0.35">
      <c r="A351">
        <v>313</v>
      </c>
      <c r="B351" t="str">
        <f>IF(Table1[[#This Row],[GRE Score]]&lt;=310,"300–310", IF(Table1[[#This Row],[GRE Score]]&lt;=320,"310–320", IF(Table1[[#This Row],[GRE Score]]&lt;=330,"320–330","330+")))</f>
        <v>310–320</v>
      </c>
      <c r="C351">
        <v>101</v>
      </c>
      <c r="D351">
        <v>3</v>
      </c>
      <c r="E351">
        <v>2.5</v>
      </c>
      <c r="F351">
        <v>3</v>
      </c>
      <c r="G351">
        <v>8.0399999999999991</v>
      </c>
      <c r="H351" t="str">
        <f t="shared" si="5"/>
        <v>8.0–8.5</v>
      </c>
      <c r="I351">
        <v>0</v>
      </c>
      <c r="J351">
        <v>0.62</v>
      </c>
    </row>
    <row r="352" spans="1:10" x14ac:dyDescent="0.35">
      <c r="A352">
        <v>318</v>
      </c>
      <c r="B352" t="str">
        <f>IF(Table1[[#This Row],[GRE Score]]&lt;=310,"300–310", IF(Table1[[#This Row],[GRE Score]]&lt;=320,"310–320", IF(Table1[[#This Row],[GRE Score]]&lt;=330,"320–330","330+")))</f>
        <v>310–320</v>
      </c>
      <c r="C352">
        <v>107</v>
      </c>
      <c r="D352">
        <v>3</v>
      </c>
      <c r="E352">
        <v>3</v>
      </c>
      <c r="F352">
        <v>3.5</v>
      </c>
      <c r="G352">
        <v>8.27</v>
      </c>
      <c r="H352" t="str">
        <f t="shared" si="5"/>
        <v>8.0–8.5</v>
      </c>
      <c r="I352">
        <v>1</v>
      </c>
      <c r="J352">
        <v>0.74</v>
      </c>
    </row>
    <row r="353" spans="1:10" x14ac:dyDescent="0.35">
      <c r="A353">
        <v>325</v>
      </c>
      <c r="B353" t="str">
        <f>IF(Table1[[#This Row],[GRE Score]]&lt;=310,"300–310", IF(Table1[[#This Row],[GRE Score]]&lt;=320,"310–320", IF(Table1[[#This Row],[GRE Score]]&lt;=330,"320–330","330+")))</f>
        <v>320–330</v>
      </c>
      <c r="C353">
        <v>110</v>
      </c>
      <c r="D353">
        <v>4</v>
      </c>
      <c r="E353">
        <v>3.5</v>
      </c>
      <c r="F353">
        <v>4</v>
      </c>
      <c r="G353">
        <v>8.67</v>
      </c>
      <c r="H353" t="str">
        <f t="shared" si="5"/>
        <v>8.5–9.0</v>
      </c>
      <c r="I353">
        <v>1</v>
      </c>
      <c r="J353">
        <v>0.73</v>
      </c>
    </row>
    <row r="354" spans="1:10" x14ac:dyDescent="0.35">
      <c r="A354">
        <v>303</v>
      </c>
      <c r="B354" t="str">
        <f>IF(Table1[[#This Row],[GRE Score]]&lt;=310,"300–310", IF(Table1[[#This Row],[GRE Score]]&lt;=320,"310–320", IF(Table1[[#This Row],[GRE Score]]&lt;=330,"320–330","330+")))</f>
        <v>300–310</v>
      </c>
      <c r="C354">
        <v>100</v>
      </c>
      <c r="D354">
        <v>2</v>
      </c>
      <c r="E354">
        <v>3</v>
      </c>
      <c r="F354">
        <v>3.5</v>
      </c>
      <c r="G354">
        <v>8.06</v>
      </c>
      <c r="H354" t="str">
        <f t="shared" si="5"/>
        <v>8.0–8.5</v>
      </c>
      <c r="I354">
        <v>1</v>
      </c>
      <c r="J354">
        <v>0.64</v>
      </c>
    </row>
    <row r="355" spans="1:10" x14ac:dyDescent="0.35">
      <c r="A355">
        <v>300</v>
      </c>
      <c r="B355" t="str">
        <f>IF(Table1[[#This Row],[GRE Score]]&lt;=310,"300–310", IF(Table1[[#This Row],[GRE Score]]&lt;=320,"310–320", IF(Table1[[#This Row],[GRE Score]]&lt;=330,"320–330","330+")))</f>
        <v>300–310</v>
      </c>
      <c r="C355">
        <v>102</v>
      </c>
      <c r="D355">
        <v>3</v>
      </c>
      <c r="E355">
        <v>3.5</v>
      </c>
      <c r="F355">
        <v>2.5</v>
      </c>
      <c r="G355">
        <v>8.17</v>
      </c>
      <c r="H355" t="str">
        <f t="shared" si="5"/>
        <v>8.0–8.5</v>
      </c>
      <c r="I355">
        <v>0</v>
      </c>
      <c r="J355">
        <v>0.63</v>
      </c>
    </row>
    <row r="356" spans="1:10" x14ac:dyDescent="0.35">
      <c r="A356">
        <v>297</v>
      </c>
      <c r="B356" t="str">
        <f>IF(Table1[[#This Row],[GRE Score]]&lt;=310,"300–310", IF(Table1[[#This Row],[GRE Score]]&lt;=320,"310–320", IF(Table1[[#This Row],[GRE Score]]&lt;=330,"320–330","330+")))</f>
        <v>300–310</v>
      </c>
      <c r="C356">
        <v>98</v>
      </c>
      <c r="D356">
        <v>2</v>
      </c>
      <c r="E356">
        <v>2.5</v>
      </c>
      <c r="F356">
        <v>3</v>
      </c>
      <c r="G356">
        <v>7.67</v>
      </c>
      <c r="H356" t="str">
        <f t="shared" si="5"/>
        <v>7.5–8.0</v>
      </c>
      <c r="I356">
        <v>0</v>
      </c>
      <c r="J356">
        <v>0.59</v>
      </c>
    </row>
    <row r="357" spans="1:10" x14ac:dyDescent="0.35">
      <c r="A357">
        <v>317</v>
      </c>
      <c r="B357" t="str">
        <f>IF(Table1[[#This Row],[GRE Score]]&lt;=310,"300–310", IF(Table1[[#This Row],[GRE Score]]&lt;=320,"310–320", IF(Table1[[#This Row],[GRE Score]]&lt;=330,"320–330","330+")))</f>
        <v>310–320</v>
      </c>
      <c r="C357">
        <v>106</v>
      </c>
      <c r="D357">
        <v>2</v>
      </c>
      <c r="E357">
        <v>2</v>
      </c>
      <c r="F357">
        <v>3.5</v>
      </c>
      <c r="G357">
        <v>8.1199999999999992</v>
      </c>
      <c r="H357" t="str">
        <f t="shared" si="5"/>
        <v>8.0–8.5</v>
      </c>
      <c r="I357">
        <v>0</v>
      </c>
      <c r="J357">
        <v>0.73</v>
      </c>
    </row>
    <row r="358" spans="1:10" x14ac:dyDescent="0.35">
      <c r="A358">
        <v>327</v>
      </c>
      <c r="B358" t="str">
        <f>IF(Table1[[#This Row],[GRE Score]]&lt;=310,"300–310", IF(Table1[[#This Row],[GRE Score]]&lt;=320,"310–320", IF(Table1[[#This Row],[GRE Score]]&lt;=330,"320–330","330+")))</f>
        <v>320–330</v>
      </c>
      <c r="C358">
        <v>109</v>
      </c>
      <c r="D358">
        <v>3</v>
      </c>
      <c r="E358">
        <v>3.5</v>
      </c>
      <c r="F358">
        <v>4</v>
      </c>
      <c r="G358">
        <v>8.77</v>
      </c>
      <c r="H358" t="str">
        <f t="shared" si="5"/>
        <v>8.5–9.0</v>
      </c>
      <c r="I358">
        <v>1</v>
      </c>
      <c r="J358">
        <v>0.79</v>
      </c>
    </row>
    <row r="359" spans="1:10" x14ac:dyDescent="0.35">
      <c r="A359">
        <v>301</v>
      </c>
      <c r="B359" t="str">
        <f>IF(Table1[[#This Row],[GRE Score]]&lt;=310,"300–310", IF(Table1[[#This Row],[GRE Score]]&lt;=320,"310–320", IF(Table1[[#This Row],[GRE Score]]&lt;=330,"320–330","330+")))</f>
        <v>300–310</v>
      </c>
      <c r="C359">
        <v>104</v>
      </c>
      <c r="D359">
        <v>2</v>
      </c>
      <c r="E359">
        <v>3.5</v>
      </c>
      <c r="F359">
        <v>3.5</v>
      </c>
      <c r="G359">
        <v>7.89</v>
      </c>
      <c r="H359" t="str">
        <f t="shared" si="5"/>
        <v>7.5–8.0</v>
      </c>
      <c r="I359">
        <v>1</v>
      </c>
      <c r="J359">
        <v>0.68</v>
      </c>
    </row>
    <row r="360" spans="1:10" x14ac:dyDescent="0.35">
      <c r="A360">
        <v>314</v>
      </c>
      <c r="B360" t="str">
        <f>IF(Table1[[#This Row],[GRE Score]]&lt;=310,"300–310", IF(Table1[[#This Row],[GRE Score]]&lt;=320,"310–320", IF(Table1[[#This Row],[GRE Score]]&lt;=330,"320–330","330+")))</f>
        <v>310–320</v>
      </c>
      <c r="C360">
        <v>105</v>
      </c>
      <c r="D360">
        <v>2</v>
      </c>
      <c r="E360">
        <v>2.5</v>
      </c>
      <c r="F360">
        <v>2</v>
      </c>
      <c r="G360">
        <v>7.64</v>
      </c>
      <c r="H360" t="str">
        <f t="shared" si="5"/>
        <v>7.5–8.0</v>
      </c>
      <c r="I360">
        <v>0</v>
      </c>
      <c r="J360">
        <v>0.7</v>
      </c>
    </row>
    <row r="361" spans="1:10" x14ac:dyDescent="0.35">
      <c r="A361">
        <v>321</v>
      </c>
      <c r="B361" t="str">
        <f>IF(Table1[[#This Row],[GRE Score]]&lt;=310,"300–310", IF(Table1[[#This Row],[GRE Score]]&lt;=320,"310–320", IF(Table1[[#This Row],[GRE Score]]&lt;=330,"320–330","330+")))</f>
        <v>320–330</v>
      </c>
      <c r="C361">
        <v>107</v>
      </c>
      <c r="D361">
        <v>2</v>
      </c>
      <c r="E361">
        <v>2</v>
      </c>
      <c r="F361">
        <v>1.5</v>
      </c>
      <c r="G361">
        <v>8.44</v>
      </c>
      <c r="H361" t="str">
        <f t="shared" si="5"/>
        <v>8.0–8.5</v>
      </c>
      <c r="I361">
        <v>0</v>
      </c>
      <c r="J361">
        <v>0.81</v>
      </c>
    </row>
    <row r="362" spans="1:10" x14ac:dyDescent="0.35">
      <c r="A362">
        <v>322</v>
      </c>
      <c r="B362" t="str">
        <f>IF(Table1[[#This Row],[GRE Score]]&lt;=310,"300–310", IF(Table1[[#This Row],[GRE Score]]&lt;=320,"310–320", IF(Table1[[#This Row],[GRE Score]]&lt;=330,"320–330","330+")))</f>
        <v>320–330</v>
      </c>
      <c r="C362">
        <v>110</v>
      </c>
      <c r="D362">
        <v>3</v>
      </c>
      <c r="E362">
        <v>4</v>
      </c>
      <c r="F362">
        <v>5</v>
      </c>
      <c r="G362">
        <v>8.64</v>
      </c>
      <c r="H362" t="str">
        <f t="shared" si="5"/>
        <v>8.5–9.0</v>
      </c>
      <c r="I362">
        <v>1</v>
      </c>
      <c r="J362">
        <v>0.85</v>
      </c>
    </row>
    <row r="363" spans="1:10" x14ac:dyDescent="0.35">
      <c r="A363">
        <v>334</v>
      </c>
      <c r="B363" t="str">
        <f>IF(Table1[[#This Row],[GRE Score]]&lt;=310,"300–310", IF(Table1[[#This Row],[GRE Score]]&lt;=320,"310–320", IF(Table1[[#This Row],[GRE Score]]&lt;=330,"320–330","330+")))</f>
        <v>330+</v>
      </c>
      <c r="C363">
        <v>116</v>
      </c>
      <c r="D363">
        <v>4</v>
      </c>
      <c r="E363">
        <v>4</v>
      </c>
      <c r="F363">
        <v>3.5</v>
      </c>
      <c r="G363">
        <v>9.5399999999999991</v>
      </c>
      <c r="H363" t="str">
        <f t="shared" si="5"/>
        <v>9.0+</v>
      </c>
      <c r="I363">
        <v>1</v>
      </c>
      <c r="J363">
        <v>0.93</v>
      </c>
    </row>
    <row r="364" spans="1:10" x14ac:dyDescent="0.35">
      <c r="A364">
        <v>338</v>
      </c>
      <c r="B364" t="str">
        <f>IF(Table1[[#This Row],[GRE Score]]&lt;=310,"300–310", IF(Table1[[#This Row],[GRE Score]]&lt;=320,"310–320", IF(Table1[[#This Row],[GRE Score]]&lt;=330,"320–330","330+")))</f>
        <v>330+</v>
      </c>
      <c r="C364">
        <v>115</v>
      </c>
      <c r="D364">
        <v>5</v>
      </c>
      <c r="E364">
        <v>4.5</v>
      </c>
      <c r="F364">
        <v>5</v>
      </c>
      <c r="G364">
        <v>9.23</v>
      </c>
      <c r="H364" t="str">
        <f t="shared" si="5"/>
        <v>9.0+</v>
      </c>
      <c r="I364">
        <v>1</v>
      </c>
      <c r="J364">
        <v>0.91</v>
      </c>
    </row>
    <row r="365" spans="1:10" x14ac:dyDescent="0.35">
      <c r="A365">
        <v>306</v>
      </c>
      <c r="B365" t="str">
        <f>IF(Table1[[#This Row],[GRE Score]]&lt;=310,"300–310", IF(Table1[[#This Row],[GRE Score]]&lt;=320,"310–320", IF(Table1[[#This Row],[GRE Score]]&lt;=330,"320–330","330+")))</f>
        <v>300–310</v>
      </c>
      <c r="C365">
        <v>103</v>
      </c>
      <c r="D365">
        <v>2</v>
      </c>
      <c r="E365">
        <v>2.5</v>
      </c>
      <c r="F365">
        <v>3</v>
      </c>
      <c r="G365">
        <v>8.36</v>
      </c>
      <c r="H365" t="str">
        <f t="shared" si="5"/>
        <v>8.0–8.5</v>
      </c>
      <c r="I365">
        <v>0</v>
      </c>
      <c r="J365">
        <v>0.69</v>
      </c>
    </row>
    <row r="366" spans="1:10" x14ac:dyDescent="0.35">
      <c r="A366">
        <v>313</v>
      </c>
      <c r="B366" t="str">
        <f>IF(Table1[[#This Row],[GRE Score]]&lt;=310,"300–310", IF(Table1[[#This Row],[GRE Score]]&lt;=320,"310–320", IF(Table1[[#This Row],[GRE Score]]&lt;=330,"320–330","330+")))</f>
        <v>310–320</v>
      </c>
      <c r="C366">
        <v>102</v>
      </c>
      <c r="D366">
        <v>3</v>
      </c>
      <c r="E366">
        <v>3.5</v>
      </c>
      <c r="F366">
        <v>4</v>
      </c>
      <c r="G366">
        <v>8.9</v>
      </c>
      <c r="H366" t="str">
        <f t="shared" si="5"/>
        <v>8.5–9.0</v>
      </c>
      <c r="I366">
        <v>1</v>
      </c>
      <c r="J366">
        <v>0.77</v>
      </c>
    </row>
    <row r="367" spans="1:10" x14ac:dyDescent="0.35">
      <c r="A367">
        <v>330</v>
      </c>
      <c r="B367" t="str">
        <f>IF(Table1[[#This Row],[GRE Score]]&lt;=310,"300–310", IF(Table1[[#This Row],[GRE Score]]&lt;=320,"310–320", IF(Table1[[#This Row],[GRE Score]]&lt;=330,"320–330","330+")))</f>
        <v>320–330</v>
      </c>
      <c r="C367">
        <v>114</v>
      </c>
      <c r="D367">
        <v>4</v>
      </c>
      <c r="E367">
        <v>4.5</v>
      </c>
      <c r="F367">
        <v>3</v>
      </c>
      <c r="G367">
        <v>9.17</v>
      </c>
      <c r="H367" t="str">
        <f t="shared" si="5"/>
        <v>9.0+</v>
      </c>
      <c r="I367">
        <v>1</v>
      </c>
      <c r="J367">
        <v>0.86</v>
      </c>
    </row>
    <row r="368" spans="1:10" x14ac:dyDescent="0.35">
      <c r="A368">
        <v>320</v>
      </c>
      <c r="B368" t="str">
        <f>IF(Table1[[#This Row],[GRE Score]]&lt;=310,"300–310", IF(Table1[[#This Row],[GRE Score]]&lt;=320,"310–320", IF(Table1[[#This Row],[GRE Score]]&lt;=330,"320–330","330+")))</f>
        <v>310–320</v>
      </c>
      <c r="C368">
        <v>104</v>
      </c>
      <c r="D368">
        <v>3</v>
      </c>
      <c r="E368">
        <v>3.5</v>
      </c>
      <c r="F368">
        <v>4.5</v>
      </c>
      <c r="G368">
        <v>8.34</v>
      </c>
      <c r="H368" t="str">
        <f t="shared" si="5"/>
        <v>8.0–8.5</v>
      </c>
      <c r="I368">
        <v>1</v>
      </c>
      <c r="J368">
        <v>0.74</v>
      </c>
    </row>
    <row r="369" spans="1:10" x14ac:dyDescent="0.35">
      <c r="A369">
        <v>311</v>
      </c>
      <c r="B369" t="str">
        <f>IF(Table1[[#This Row],[GRE Score]]&lt;=310,"300–310", IF(Table1[[#This Row],[GRE Score]]&lt;=320,"310–320", IF(Table1[[#This Row],[GRE Score]]&lt;=330,"320–330","330+")))</f>
        <v>310–320</v>
      </c>
      <c r="C369">
        <v>98</v>
      </c>
      <c r="D369">
        <v>1</v>
      </c>
      <c r="E369">
        <v>1</v>
      </c>
      <c r="F369">
        <v>2.5</v>
      </c>
      <c r="G369">
        <v>7.46</v>
      </c>
      <c r="H369" t="str">
        <f t="shared" si="5"/>
        <v>7.5–8.0</v>
      </c>
      <c r="I369">
        <v>0</v>
      </c>
      <c r="J369">
        <v>0.56999999999999995</v>
      </c>
    </row>
    <row r="370" spans="1:10" x14ac:dyDescent="0.35">
      <c r="A370">
        <v>298</v>
      </c>
      <c r="B370" t="str">
        <f>IF(Table1[[#This Row],[GRE Score]]&lt;=310,"300–310", IF(Table1[[#This Row],[GRE Score]]&lt;=320,"310–320", IF(Table1[[#This Row],[GRE Score]]&lt;=330,"320–330","330+")))</f>
        <v>300–310</v>
      </c>
      <c r="C370">
        <v>92</v>
      </c>
      <c r="D370">
        <v>1</v>
      </c>
      <c r="E370">
        <v>2</v>
      </c>
      <c r="F370">
        <v>2</v>
      </c>
      <c r="G370">
        <v>7.88</v>
      </c>
      <c r="H370" t="str">
        <f t="shared" si="5"/>
        <v>7.5–8.0</v>
      </c>
      <c r="I370">
        <v>0</v>
      </c>
      <c r="J370">
        <v>0.51</v>
      </c>
    </row>
    <row r="371" spans="1:10" x14ac:dyDescent="0.35">
      <c r="A371">
        <v>301</v>
      </c>
      <c r="B371" t="str">
        <f>IF(Table1[[#This Row],[GRE Score]]&lt;=310,"300–310", IF(Table1[[#This Row],[GRE Score]]&lt;=320,"310–320", IF(Table1[[#This Row],[GRE Score]]&lt;=330,"320–330","330+")))</f>
        <v>300–310</v>
      </c>
      <c r="C371">
        <v>98</v>
      </c>
      <c r="D371">
        <v>1</v>
      </c>
      <c r="E371">
        <v>2</v>
      </c>
      <c r="F371">
        <v>3</v>
      </c>
      <c r="G371">
        <v>8.0299999999999994</v>
      </c>
      <c r="H371" t="str">
        <f t="shared" si="5"/>
        <v>8.0–8.5</v>
      </c>
      <c r="I371">
        <v>1</v>
      </c>
      <c r="J371">
        <v>0.67</v>
      </c>
    </row>
    <row r="372" spans="1:10" x14ac:dyDescent="0.35">
      <c r="A372">
        <v>310</v>
      </c>
      <c r="B372" t="str">
        <f>IF(Table1[[#This Row],[GRE Score]]&lt;=310,"300–310", IF(Table1[[#This Row],[GRE Score]]&lt;=320,"310–320", IF(Table1[[#This Row],[GRE Score]]&lt;=330,"320–330","330+")))</f>
        <v>300–310</v>
      </c>
      <c r="C372">
        <v>103</v>
      </c>
      <c r="D372">
        <v>2</v>
      </c>
      <c r="E372">
        <v>2.5</v>
      </c>
      <c r="F372">
        <v>2.5</v>
      </c>
      <c r="G372">
        <v>8.24</v>
      </c>
      <c r="H372" t="str">
        <f t="shared" si="5"/>
        <v>8.0–8.5</v>
      </c>
      <c r="I372">
        <v>0</v>
      </c>
      <c r="J372">
        <v>0.72</v>
      </c>
    </row>
    <row r="373" spans="1:10" x14ac:dyDescent="0.35">
      <c r="A373">
        <v>324</v>
      </c>
      <c r="B373" t="str">
        <f>IF(Table1[[#This Row],[GRE Score]]&lt;=310,"300–310", IF(Table1[[#This Row],[GRE Score]]&lt;=320,"310–320", IF(Table1[[#This Row],[GRE Score]]&lt;=330,"320–330","330+")))</f>
        <v>320–330</v>
      </c>
      <c r="C373">
        <v>110</v>
      </c>
      <c r="D373">
        <v>3</v>
      </c>
      <c r="E373">
        <v>3.5</v>
      </c>
      <c r="F373">
        <v>3</v>
      </c>
      <c r="G373">
        <v>9.2200000000000006</v>
      </c>
      <c r="H373" t="str">
        <f t="shared" si="5"/>
        <v>9.0+</v>
      </c>
      <c r="I373">
        <v>1</v>
      </c>
      <c r="J373">
        <v>0.89</v>
      </c>
    </row>
    <row r="374" spans="1:10" x14ac:dyDescent="0.35">
      <c r="A374">
        <v>336</v>
      </c>
      <c r="B374" t="str">
        <f>IF(Table1[[#This Row],[GRE Score]]&lt;=310,"300–310", IF(Table1[[#This Row],[GRE Score]]&lt;=320,"310–320", IF(Table1[[#This Row],[GRE Score]]&lt;=330,"320–330","330+")))</f>
        <v>330+</v>
      </c>
      <c r="C374">
        <v>119</v>
      </c>
      <c r="D374">
        <v>4</v>
      </c>
      <c r="E374">
        <v>4.5</v>
      </c>
      <c r="F374">
        <v>4</v>
      </c>
      <c r="G374">
        <v>9.6199999999999992</v>
      </c>
      <c r="H374" t="str">
        <f t="shared" si="5"/>
        <v>9.0+</v>
      </c>
      <c r="I374">
        <v>1</v>
      </c>
      <c r="J374">
        <v>0.95</v>
      </c>
    </row>
    <row r="375" spans="1:10" x14ac:dyDescent="0.35">
      <c r="A375">
        <v>321</v>
      </c>
      <c r="B375" t="str">
        <f>IF(Table1[[#This Row],[GRE Score]]&lt;=310,"300–310", IF(Table1[[#This Row],[GRE Score]]&lt;=320,"310–320", IF(Table1[[#This Row],[GRE Score]]&lt;=330,"320–330","330+")))</f>
        <v>320–330</v>
      </c>
      <c r="C375">
        <v>109</v>
      </c>
      <c r="D375">
        <v>3</v>
      </c>
      <c r="E375">
        <v>3</v>
      </c>
      <c r="F375">
        <v>3</v>
      </c>
      <c r="G375">
        <v>8.5399999999999991</v>
      </c>
      <c r="H375" t="str">
        <f t="shared" si="5"/>
        <v>8.5–9.0</v>
      </c>
      <c r="I375">
        <v>1</v>
      </c>
      <c r="J375">
        <v>0.79</v>
      </c>
    </row>
    <row r="376" spans="1:10" x14ac:dyDescent="0.35">
      <c r="A376">
        <v>315</v>
      </c>
      <c r="B376" t="str">
        <f>IF(Table1[[#This Row],[GRE Score]]&lt;=310,"300–310", IF(Table1[[#This Row],[GRE Score]]&lt;=320,"310–320", IF(Table1[[#This Row],[GRE Score]]&lt;=330,"320–330","330+")))</f>
        <v>310–320</v>
      </c>
      <c r="C376">
        <v>105</v>
      </c>
      <c r="D376">
        <v>2</v>
      </c>
      <c r="E376">
        <v>2</v>
      </c>
      <c r="F376">
        <v>2.5</v>
      </c>
      <c r="G376">
        <v>7.65</v>
      </c>
      <c r="H376" t="str">
        <f t="shared" si="5"/>
        <v>7.5–8.0</v>
      </c>
      <c r="I376">
        <v>0</v>
      </c>
      <c r="J376">
        <v>0.39</v>
      </c>
    </row>
    <row r="377" spans="1:10" x14ac:dyDescent="0.35">
      <c r="A377">
        <v>304</v>
      </c>
      <c r="B377" t="str">
        <f>IF(Table1[[#This Row],[GRE Score]]&lt;=310,"300–310", IF(Table1[[#This Row],[GRE Score]]&lt;=320,"310–320", IF(Table1[[#This Row],[GRE Score]]&lt;=330,"320–330","330+")))</f>
        <v>300–310</v>
      </c>
      <c r="C377">
        <v>101</v>
      </c>
      <c r="D377">
        <v>2</v>
      </c>
      <c r="E377">
        <v>2</v>
      </c>
      <c r="F377">
        <v>2.5</v>
      </c>
      <c r="G377">
        <v>7.66</v>
      </c>
      <c r="H377" t="str">
        <f t="shared" si="5"/>
        <v>7.5–8.0</v>
      </c>
      <c r="I377">
        <v>0</v>
      </c>
      <c r="J377">
        <v>0.38</v>
      </c>
    </row>
    <row r="378" spans="1:10" x14ac:dyDescent="0.35">
      <c r="A378">
        <v>297</v>
      </c>
      <c r="B378" t="str">
        <f>IF(Table1[[#This Row],[GRE Score]]&lt;=310,"300–310", IF(Table1[[#This Row],[GRE Score]]&lt;=320,"310–320", IF(Table1[[#This Row],[GRE Score]]&lt;=330,"320–330","330+")))</f>
        <v>300–310</v>
      </c>
      <c r="C378">
        <v>96</v>
      </c>
      <c r="D378">
        <v>2</v>
      </c>
      <c r="E378">
        <v>2.5</v>
      </c>
      <c r="F378">
        <v>2</v>
      </c>
      <c r="G378">
        <v>7.43</v>
      </c>
      <c r="H378" t="str">
        <f t="shared" si="5"/>
        <v>7.5–8.0</v>
      </c>
      <c r="I378">
        <v>0</v>
      </c>
      <c r="J378">
        <v>0.34</v>
      </c>
    </row>
    <row r="379" spans="1:10" x14ac:dyDescent="0.35">
      <c r="A379">
        <v>290</v>
      </c>
      <c r="B379" t="str">
        <f>IF(Table1[[#This Row],[GRE Score]]&lt;=310,"300–310", IF(Table1[[#This Row],[GRE Score]]&lt;=320,"310–320", IF(Table1[[#This Row],[GRE Score]]&lt;=330,"320–330","330+")))</f>
        <v>300–310</v>
      </c>
      <c r="C379">
        <v>100</v>
      </c>
      <c r="D379">
        <v>1</v>
      </c>
      <c r="E379">
        <v>1.5</v>
      </c>
      <c r="F379">
        <v>2</v>
      </c>
      <c r="G379">
        <v>7.56</v>
      </c>
      <c r="H379" t="str">
        <f t="shared" si="5"/>
        <v>7.5–8.0</v>
      </c>
      <c r="I379">
        <v>0</v>
      </c>
      <c r="J379">
        <v>0.47</v>
      </c>
    </row>
    <row r="380" spans="1:10" x14ac:dyDescent="0.35">
      <c r="A380">
        <v>303</v>
      </c>
      <c r="B380" t="str">
        <f>IF(Table1[[#This Row],[GRE Score]]&lt;=310,"300–310", IF(Table1[[#This Row],[GRE Score]]&lt;=320,"310–320", IF(Table1[[#This Row],[GRE Score]]&lt;=330,"320–330","330+")))</f>
        <v>300–310</v>
      </c>
      <c r="C380">
        <v>98</v>
      </c>
      <c r="D380">
        <v>1</v>
      </c>
      <c r="E380">
        <v>2</v>
      </c>
      <c r="F380">
        <v>2.5</v>
      </c>
      <c r="G380">
        <v>7.65</v>
      </c>
      <c r="H380" t="str">
        <f t="shared" si="5"/>
        <v>7.5–8.0</v>
      </c>
      <c r="I380">
        <v>0</v>
      </c>
      <c r="J380">
        <v>0.56000000000000005</v>
      </c>
    </row>
    <row r="381" spans="1:10" x14ac:dyDescent="0.35">
      <c r="A381">
        <v>311</v>
      </c>
      <c r="B381" t="str">
        <f>IF(Table1[[#This Row],[GRE Score]]&lt;=310,"300–310", IF(Table1[[#This Row],[GRE Score]]&lt;=320,"310–320", IF(Table1[[#This Row],[GRE Score]]&lt;=330,"320–330","330+")))</f>
        <v>310–320</v>
      </c>
      <c r="C381">
        <v>99</v>
      </c>
      <c r="D381">
        <v>1</v>
      </c>
      <c r="E381">
        <v>2.5</v>
      </c>
      <c r="F381">
        <v>3</v>
      </c>
      <c r="G381">
        <v>8.43</v>
      </c>
      <c r="H381" t="str">
        <f t="shared" si="5"/>
        <v>8.0–8.5</v>
      </c>
      <c r="I381">
        <v>1</v>
      </c>
      <c r="J381">
        <v>0.71</v>
      </c>
    </row>
    <row r="382" spans="1:10" x14ac:dyDescent="0.35">
      <c r="A382">
        <v>322</v>
      </c>
      <c r="B382" t="str">
        <f>IF(Table1[[#This Row],[GRE Score]]&lt;=310,"300–310", IF(Table1[[#This Row],[GRE Score]]&lt;=320,"310–320", IF(Table1[[#This Row],[GRE Score]]&lt;=330,"320–330","330+")))</f>
        <v>320–330</v>
      </c>
      <c r="C382">
        <v>104</v>
      </c>
      <c r="D382">
        <v>3</v>
      </c>
      <c r="E382">
        <v>3.5</v>
      </c>
      <c r="F382">
        <v>4</v>
      </c>
      <c r="G382">
        <v>8.84</v>
      </c>
      <c r="H382" t="str">
        <f t="shared" si="5"/>
        <v>8.5–9.0</v>
      </c>
      <c r="I382">
        <v>1</v>
      </c>
      <c r="J382">
        <v>0.78</v>
      </c>
    </row>
    <row r="383" spans="1:10" x14ac:dyDescent="0.35">
      <c r="A383">
        <v>319</v>
      </c>
      <c r="B383" t="str">
        <f>IF(Table1[[#This Row],[GRE Score]]&lt;=310,"300–310", IF(Table1[[#This Row],[GRE Score]]&lt;=320,"310–320", IF(Table1[[#This Row],[GRE Score]]&lt;=330,"320–330","330+")))</f>
        <v>310–320</v>
      </c>
      <c r="C383">
        <v>105</v>
      </c>
      <c r="D383">
        <v>3</v>
      </c>
      <c r="E383">
        <v>3</v>
      </c>
      <c r="F383">
        <v>3.5</v>
      </c>
      <c r="G383">
        <v>8.67</v>
      </c>
      <c r="H383" t="str">
        <f t="shared" si="5"/>
        <v>8.5–9.0</v>
      </c>
      <c r="I383">
        <v>1</v>
      </c>
      <c r="J383">
        <v>0.73</v>
      </c>
    </row>
    <row r="384" spans="1:10" x14ac:dyDescent="0.35">
      <c r="A384">
        <v>324</v>
      </c>
      <c r="B384" t="str">
        <f>IF(Table1[[#This Row],[GRE Score]]&lt;=310,"300–310", IF(Table1[[#This Row],[GRE Score]]&lt;=320,"310–320", IF(Table1[[#This Row],[GRE Score]]&lt;=330,"320–330","330+")))</f>
        <v>320–330</v>
      </c>
      <c r="C384">
        <v>110</v>
      </c>
      <c r="D384">
        <v>4</v>
      </c>
      <c r="E384">
        <v>4.5</v>
      </c>
      <c r="F384">
        <v>4</v>
      </c>
      <c r="G384">
        <v>9.15</v>
      </c>
      <c r="H384" t="str">
        <f t="shared" si="5"/>
        <v>9.0+</v>
      </c>
      <c r="I384">
        <v>1</v>
      </c>
      <c r="J384">
        <v>0.82</v>
      </c>
    </row>
    <row r="385" spans="1:10" x14ac:dyDescent="0.35">
      <c r="A385">
        <v>300</v>
      </c>
      <c r="B385" t="str">
        <f>IF(Table1[[#This Row],[GRE Score]]&lt;=310,"300–310", IF(Table1[[#This Row],[GRE Score]]&lt;=320,"310–320", IF(Table1[[#This Row],[GRE Score]]&lt;=330,"320–330","330+")))</f>
        <v>300–310</v>
      </c>
      <c r="C385">
        <v>100</v>
      </c>
      <c r="D385">
        <v>3</v>
      </c>
      <c r="E385">
        <v>3</v>
      </c>
      <c r="F385">
        <v>3.5</v>
      </c>
      <c r="G385">
        <v>8.26</v>
      </c>
      <c r="H385" t="str">
        <f t="shared" si="5"/>
        <v>8.0–8.5</v>
      </c>
      <c r="I385">
        <v>0</v>
      </c>
      <c r="J385">
        <v>0.62</v>
      </c>
    </row>
    <row r="386" spans="1:10" x14ac:dyDescent="0.35">
      <c r="A386">
        <v>340</v>
      </c>
      <c r="B386" t="str">
        <f>IF(Table1[[#This Row],[GRE Score]]&lt;=310,"300–310", IF(Table1[[#This Row],[GRE Score]]&lt;=320,"310–320", IF(Table1[[#This Row],[GRE Score]]&lt;=330,"320–330","330+")))</f>
        <v>330+</v>
      </c>
      <c r="C386">
        <v>113</v>
      </c>
      <c r="D386">
        <v>4</v>
      </c>
      <c r="E386">
        <v>5</v>
      </c>
      <c r="F386">
        <v>5</v>
      </c>
      <c r="G386">
        <v>9.74</v>
      </c>
      <c r="H386" t="str">
        <f t="shared" ref="H386:H449" si="6">IF(G386&lt;8,"7.5–8.0",
IF(G386&lt;8.5,"8.0–8.5",
IF(G386&lt;9,"8.5–9.0","9.0+")))</f>
        <v>9.0+</v>
      </c>
      <c r="I386">
        <v>1</v>
      </c>
      <c r="J386">
        <v>0.96</v>
      </c>
    </row>
    <row r="387" spans="1:10" x14ac:dyDescent="0.35">
      <c r="A387">
        <v>335</v>
      </c>
      <c r="B387" t="str">
        <f>IF(Table1[[#This Row],[GRE Score]]&lt;=310,"300–310", IF(Table1[[#This Row],[GRE Score]]&lt;=320,"310–320", IF(Table1[[#This Row],[GRE Score]]&lt;=330,"320–330","330+")))</f>
        <v>330+</v>
      </c>
      <c r="C387">
        <v>117</v>
      </c>
      <c r="D387">
        <v>5</v>
      </c>
      <c r="E387">
        <v>5</v>
      </c>
      <c r="F387">
        <v>5</v>
      </c>
      <c r="G387">
        <v>9.82</v>
      </c>
      <c r="H387" t="str">
        <f t="shared" si="6"/>
        <v>9.0+</v>
      </c>
      <c r="I387">
        <v>1</v>
      </c>
      <c r="J387">
        <v>0.96</v>
      </c>
    </row>
    <row r="388" spans="1:10" x14ac:dyDescent="0.35">
      <c r="A388">
        <v>302</v>
      </c>
      <c r="B388" t="str">
        <f>IF(Table1[[#This Row],[GRE Score]]&lt;=310,"300–310", IF(Table1[[#This Row],[GRE Score]]&lt;=320,"310–320", IF(Table1[[#This Row],[GRE Score]]&lt;=330,"320–330","330+")))</f>
        <v>300–310</v>
      </c>
      <c r="C388">
        <v>101</v>
      </c>
      <c r="D388">
        <v>2</v>
      </c>
      <c r="E388">
        <v>2.5</v>
      </c>
      <c r="F388">
        <v>3.5</v>
      </c>
      <c r="G388">
        <v>7.96</v>
      </c>
      <c r="H388" t="str">
        <f t="shared" si="6"/>
        <v>7.5–8.0</v>
      </c>
      <c r="I388">
        <v>0</v>
      </c>
      <c r="J388">
        <v>0.46</v>
      </c>
    </row>
    <row r="389" spans="1:10" x14ac:dyDescent="0.35">
      <c r="A389">
        <v>307</v>
      </c>
      <c r="B389" t="str">
        <f>IF(Table1[[#This Row],[GRE Score]]&lt;=310,"300–310", IF(Table1[[#This Row],[GRE Score]]&lt;=320,"310–320", IF(Table1[[#This Row],[GRE Score]]&lt;=330,"320–330","330+")))</f>
        <v>300–310</v>
      </c>
      <c r="C389">
        <v>105</v>
      </c>
      <c r="D389">
        <v>2</v>
      </c>
      <c r="E389">
        <v>2</v>
      </c>
      <c r="F389">
        <v>3.5</v>
      </c>
      <c r="G389">
        <v>8.1</v>
      </c>
      <c r="H389" t="str">
        <f t="shared" si="6"/>
        <v>8.0–8.5</v>
      </c>
      <c r="I389">
        <v>0</v>
      </c>
      <c r="J389">
        <v>0.53</v>
      </c>
    </row>
    <row r="390" spans="1:10" x14ac:dyDescent="0.35">
      <c r="A390">
        <v>296</v>
      </c>
      <c r="B390" t="str">
        <f>IF(Table1[[#This Row],[GRE Score]]&lt;=310,"300–310", IF(Table1[[#This Row],[GRE Score]]&lt;=320,"310–320", IF(Table1[[#This Row],[GRE Score]]&lt;=330,"320–330","330+")))</f>
        <v>300–310</v>
      </c>
      <c r="C390">
        <v>97</v>
      </c>
      <c r="D390">
        <v>2</v>
      </c>
      <c r="E390">
        <v>1.5</v>
      </c>
      <c r="F390">
        <v>2</v>
      </c>
      <c r="G390">
        <v>7.8</v>
      </c>
      <c r="H390" t="str">
        <f t="shared" si="6"/>
        <v>7.5–8.0</v>
      </c>
      <c r="I390">
        <v>0</v>
      </c>
      <c r="J390">
        <v>0.49</v>
      </c>
    </row>
    <row r="391" spans="1:10" x14ac:dyDescent="0.35">
      <c r="A391">
        <v>320</v>
      </c>
      <c r="B391" t="str">
        <f>IF(Table1[[#This Row],[GRE Score]]&lt;=310,"300–310", IF(Table1[[#This Row],[GRE Score]]&lt;=320,"310–320", IF(Table1[[#This Row],[GRE Score]]&lt;=330,"320–330","330+")))</f>
        <v>310–320</v>
      </c>
      <c r="C391">
        <v>108</v>
      </c>
      <c r="D391">
        <v>3</v>
      </c>
      <c r="E391">
        <v>3.5</v>
      </c>
      <c r="F391">
        <v>4</v>
      </c>
      <c r="G391">
        <v>8.44</v>
      </c>
      <c r="H391" t="str">
        <f t="shared" si="6"/>
        <v>8.0–8.5</v>
      </c>
      <c r="I391">
        <v>1</v>
      </c>
      <c r="J391">
        <v>0.76</v>
      </c>
    </row>
    <row r="392" spans="1:10" x14ac:dyDescent="0.35">
      <c r="A392">
        <v>314</v>
      </c>
      <c r="B392" t="str">
        <f>IF(Table1[[#This Row],[GRE Score]]&lt;=310,"300–310", IF(Table1[[#This Row],[GRE Score]]&lt;=320,"310–320", IF(Table1[[#This Row],[GRE Score]]&lt;=330,"320–330","330+")))</f>
        <v>310–320</v>
      </c>
      <c r="C392">
        <v>102</v>
      </c>
      <c r="D392">
        <v>2</v>
      </c>
      <c r="E392">
        <v>2</v>
      </c>
      <c r="F392">
        <v>2.5</v>
      </c>
      <c r="G392">
        <v>8.24</v>
      </c>
      <c r="H392" t="str">
        <f t="shared" si="6"/>
        <v>8.0–8.5</v>
      </c>
      <c r="I392">
        <v>0</v>
      </c>
      <c r="J392">
        <v>0.64</v>
      </c>
    </row>
    <row r="393" spans="1:10" x14ac:dyDescent="0.35">
      <c r="A393">
        <v>318</v>
      </c>
      <c r="B393" t="str">
        <f>IF(Table1[[#This Row],[GRE Score]]&lt;=310,"300–310", IF(Table1[[#This Row],[GRE Score]]&lt;=320,"310–320", IF(Table1[[#This Row],[GRE Score]]&lt;=330,"320–330","330+")))</f>
        <v>310–320</v>
      </c>
      <c r="C393">
        <v>106</v>
      </c>
      <c r="D393">
        <v>3</v>
      </c>
      <c r="E393">
        <v>2</v>
      </c>
      <c r="F393">
        <v>3</v>
      </c>
      <c r="G393">
        <v>8.65</v>
      </c>
      <c r="H393" t="str">
        <f t="shared" si="6"/>
        <v>8.5–9.0</v>
      </c>
      <c r="I393">
        <v>0</v>
      </c>
      <c r="J393">
        <v>0.71</v>
      </c>
    </row>
    <row r="394" spans="1:10" x14ac:dyDescent="0.35">
      <c r="A394">
        <v>326</v>
      </c>
      <c r="B394" t="str">
        <f>IF(Table1[[#This Row],[GRE Score]]&lt;=310,"300–310", IF(Table1[[#This Row],[GRE Score]]&lt;=320,"310–320", IF(Table1[[#This Row],[GRE Score]]&lt;=330,"320–330","330+")))</f>
        <v>320–330</v>
      </c>
      <c r="C394">
        <v>112</v>
      </c>
      <c r="D394">
        <v>4</v>
      </c>
      <c r="E394">
        <v>4</v>
      </c>
      <c r="F394">
        <v>3.5</v>
      </c>
      <c r="G394">
        <v>9.1199999999999992</v>
      </c>
      <c r="H394" t="str">
        <f t="shared" si="6"/>
        <v>9.0+</v>
      </c>
      <c r="I394">
        <v>1</v>
      </c>
      <c r="J394">
        <v>0.84</v>
      </c>
    </row>
    <row r="395" spans="1:10" x14ac:dyDescent="0.35">
      <c r="A395">
        <v>317</v>
      </c>
      <c r="B395" t="str">
        <f>IF(Table1[[#This Row],[GRE Score]]&lt;=310,"300–310", IF(Table1[[#This Row],[GRE Score]]&lt;=320,"310–320", IF(Table1[[#This Row],[GRE Score]]&lt;=330,"320–330","330+")))</f>
        <v>310–320</v>
      </c>
      <c r="C395">
        <v>104</v>
      </c>
      <c r="D395">
        <v>2</v>
      </c>
      <c r="E395">
        <v>3</v>
      </c>
      <c r="F395">
        <v>3</v>
      </c>
      <c r="G395">
        <v>8.76</v>
      </c>
      <c r="H395" t="str">
        <f t="shared" si="6"/>
        <v>8.5–9.0</v>
      </c>
      <c r="I395">
        <v>0</v>
      </c>
      <c r="J395">
        <v>0.77</v>
      </c>
    </row>
    <row r="396" spans="1:10" x14ac:dyDescent="0.35">
      <c r="A396">
        <v>329</v>
      </c>
      <c r="B396" t="str">
        <f>IF(Table1[[#This Row],[GRE Score]]&lt;=310,"300–310", IF(Table1[[#This Row],[GRE Score]]&lt;=320,"310–320", IF(Table1[[#This Row],[GRE Score]]&lt;=330,"320–330","330+")))</f>
        <v>320–330</v>
      </c>
      <c r="C396">
        <v>111</v>
      </c>
      <c r="D396">
        <v>4</v>
      </c>
      <c r="E396">
        <v>4.5</v>
      </c>
      <c r="F396">
        <v>4</v>
      </c>
      <c r="G396">
        <v>9.23</v>
      </c>
      <c r="H396" t="str">
        <f t="shared" si="6"/>
        <v>9.0+</v>
      </c>
      <c r="I396">
        <v>1</v>
      </c>
      <c r="J396">
        <v>0.89</v>
      </c>
    </row>
    <row r="397" spans="1:10" x14ac:dyDescent="0.35">
      <c r="A397">
        <v>324</v>
      </c>
      <c r="B397" t="str">
        <f>IF(Table1[[#This Row],[GRE Score]]&lt;=310,"300–310", IF(Table1[[#This Row],[GRE Score]]&lt;=320,"310–320", IF(Table1[[#This Row],[GRE Score]]&lt;=330,"320–330","330+")))</f>
        <v>320–330</v>
      </c>
      <c r="C397">
        <v>110</v>
      </c>
      <c r="D397">
        <v>3</v>
      </c>
      <c r="E397">
        <v>3.5</v>
      </c>
      <c r="F397">
        <v>3.5</v>
      </c>
      <c r="G397">
        <v>9.0399999999999991</v>
      </c>
      <c r="H397" t="str">
        <f t="shared" si="6"/>
        <v>9.0+</v>
      </c>
      <c r="I397">
        <v>1</v>
      </c>
      <c r="J397">
        <v>0.82</v>
      </c>
    </row>
    <row r="398" spans="1:10" x14ac:dyDescent="0.35">
      <c r="A398">
        <v>325</v>
      </c>
      <c r="B398" t="str">
        <f>IF(Table1[[#This Row],[GRE Score]]&lt;=310,"300–310", IF(Table1[[#This Row],[GRE Score]]&lt;=320,"310–320", IF(Table1[[#This Row],[GRE Score]]&lt;=330,"320–330","330+")))</f>
        <v>320–330</v>
      </c>
      <c r="C398">
        <v>107</v>
      </c>
      <c r="D398">
        <v>3</v>
      </c>
      <c r="E398">
        <v>3</v>
      </c>
      <c r="F398">
        <v>3.5</v>
      </c>
      <c r="G398">
        <v>9.11</v>
      </c>
      <c r="H398" t="str">
        <f t="shared" si="6"/>
        <v>9.0+</v>
      </c>
      <c r="I398">
        <v>1</v>
      </c>
      <c r="J398">
        <v>0.84</v>
      </c>
    </row>
    <row r="399" spans="1:10" x14ac:dyDescent="0.35">
      <c r="A399">
        <v>330</v>
      </c>
      <c r="B399" t="str">
        <f>IF(Table1[[#This Row],[GRE Score]]&lt;=310,"300–310", IF(Table1[[#This Row],[GRE Score]]&lt;=320,"310–320", IF(Table1[[#This Row],[GRE Score]]&lt;=330,"320–330","330+")))</f>
        <v>320–330</v>
      </c>
      <c r="C399">
        <v>116</v>
      </c>
      <c r="D399">
        <v>4</v>
      </c>
      <c r="E399">
        <v>5</v>
      </c>
      <c r="F399">
        <v>4.5</v>
      </c>
      <c r="G399">
        <v>9.4499999999999993</v>
      </c>
      <c r="H399" t="str">
        <f t="shared" si="6"/>
        <v>9.0+</v>
      </c>
      <c r="I399">
        <v>1</v>
      </c>
      <c r="J399">
        <v>0.91</v>
      </c>
    </row>
    <row r="400" spans="1:10" x14ac:dyDescent="0.35">
      <c r="A400">
        <v>312</v>
      </c>
      <c r="B400" t="str">
        <f>IF(Table1[[#This Row],[GRE Score]]&lt;=310,"300–310", IF(Table1[[#This Row],[GRE Score]]&lt;=320,"310–320", IF(Table1[[#This Row],[GRE Score]]&lt;=330,"320–330","330+")))</f>
        <v>310–320</v>
      </c>
      <c r="C400">
        <v>103</v>
      </c>
      <c r="D400">
        <v>3</v>
      </c>
      <c r="E400">
        <v>3.5</v>
      </c>
      <c r="F400">
        <v>4</v>
      </c>
      <c r="G400">
        <v>8.7799999999999994</v>
      </c>
      <c r="H400" t="str">
        <f t="shared" si="6"/>
        <v>8.5–9.0</v>
      </c>
      <c r="I400">
        <v>0</v>
      </c>
      <c r="J400">
        <v>0.67</v>
      </c>
    </row>
    <row r="401" spans="1:10" x14ac:dyDescent="0.35">
      <c r="A401">
        <v>333</v>
      </c>
      <c r="B401" t="str">
        <f>IF(Table1[[#This Row],[GRE Score]]&lt;=310,"300–310", IF(Table1[[#This Row],[GRE Score]]&lt;=320,"310–320", IF(Table1[[#This Row],[GRE Score]]&lt;=330,"320–330","330+")))</f>
        <v>330+</v>
      </c>
      <c r="C401">
        <v>117</v>
      </c>
      <c r="D401">
        <v>4</v>
      </c>
      <c r="E401">
        <v>5</v>
      </c>
      <c r="F401">
        <v>4</v>
      </c>
      <c r="G401">
        <v>9.66</v>
      </c>
      <c r="H401" t="str">
        <f t="shared" si="6"/>
        <v>9.0+</v>
      </c>
      <c r="I401">
        <v>1</v>
      </c>
      <c r="J401">
        <v>0.95</v>
      </c>
    </row>
    <row r="402" spans="1:10" x14ac:dyDescent="0.35">
      <c r="A402">
        <v>304</v>
      </c>
      <c r="B402" t="str">
        <f>IF(Table1[[#This Row],[GRE Score]]&lt;=310,"300–310", IF(Table1[[#This Row],[GRE Score]]&lt;=320,"310–320", IF(Table1[[#This Row],[GRE Score]]&lt;=330,"320–330","330+")))</f>
        <v>300–310</v>
      </c>
      <c r="C402">
        <v>100</v>
      </c>
      <c r="D402">
        <v>2</v>
      </c>
      <c r="E402">
        <v>3.5</v>
      </c>
      <c r="F402">
        <v>3</v>
      </c>
      <c r="G402">
        <v>8.2200000000000006</v>
      </c>
      <c r="H402" t="str">
        <f t="shared" si="6"/>
        <v>8.0–8.5</v>
      </c>
      <c r="I402">
        <v>0</v>
      </c>
      <c r="J402">
        <v>0.63</v>
      </c>
    </row>
    <row r="403" spans="1:10" x14ac:dyDescent="0.35">
      <c r="A403">
        <v>315</v>
      </c>
      <c r="B403" t="str">
        <f>IF(Table1[[#This Row],[GRE Score]]&lt;=310,"300–310", IF(Table1[[#This Row],[GRE Score]]&lt;=320,"310–320", IF(Table1[[#This Row],[GRE Score]]&lt;=330,"320–330","330+")))</f>
        <v>310–320</v>
      </c>
      <c r="C403">
        <v>105</v>
      </c>
      <c r="D403">
        <v>2</v>
      </c>
      <c r="E403">
        <v>3</v>
      </c>
      <c r="F403">
        <v>3</v>
      </c>
      <c r="G403">
        <v>8.34</v>
      </c>
      <c r="H403" t="str">
        <f t="shared" si="6"/>
        <v>8.0–8.5</v>
      </c>
      <c r="I403">
        <v>0</v>
      </c>
      <c r="J403">
        <v>0.66</v>
      </c>
    </row>
    <row r="404" spans="1:10" x14ac:dyDescent="0.35">
      <c r="A404">
        <v>324</v>
      </c>
      <c r="B404" t="str">
        <f>IF(Table1[[#This Row],[GRE Score]]&lt;=310,"300–310", IF(Table1[[#This Row],[GRE Score]]&lt;=320,"310–320", IF(Table1[[#This Row],[GRE Score]]&lt;=330,"320–330","330+")))</f>
        <v>320–330</v>
      </c>
      <c r="C404">
        <v>109</v>
      </c>
      <c r="D404">
        <v>3</v>
      </c>
      <c r="E404">
        <v>3.5</v>
      </c>
      <c r="F404">
        <v>3</v>
      </c>
      <c r="G404">
        <v>8.94</v>
      </c>
      <c r="H404" t="str">
        <f t="shared" si="6"/>
        <v>8.5–9.0</v>
      </c>
      <c r="I404">
        <v>1</v>
      </c>
      <c r="J404">
        <v>0.78</v>
      </c>
    </row>
    <row r="405" spans="1:10" x14ac:dyDescent="0.35">
      <c r="A405">
        <v>330</v>
      </c>
      <c r="B405" t="str">
        <f>IF(Table1[[#This Row],[GRE Score]]&lt;=310,"300–310", IF(Table1[[#This Row],[GRE Score]]&lt;=320,"310–320", IF(Table1[[#This Row],[GRE Score]]&lt;=330,"320–330","330+")))</f>
        <v>320–330</v>
      </c>
      <c r="C405">
        <v>116</v>
      </c>
      <c r="D405">
        <v>4</v>
      </c>
      <c r="E405">
        <v>4</v>
      </c>
      <c r="F405">
        <v>3.5</v>
      </c>
      <c r="G405">
        <v>9.23</v>
      </c>
      <c r="H405" t="str">
        <f t="shared" si="6"/>
        <v>9.0+</v>
      </c>
      <c r="I405">
        <v>1</v>
      </c>
      <c r="J405">
        <v>0.91</v>
      </c>
    </row>
    <row r="406" spans="1:10" x14ac:dyDescent="0.35">
      <c r="A406">
        <v>311</v>
      </c>
      <c r="B406" t="str">
        <f>IF(Table1[[#This Row],[GRE Score]]&lt;=310,"300–310", IF(Table1[[#This Row],[GRE Score]]&lt;=320,"310–320", IF(Table1[[#This Row],[GRE Score]]&lt;=330,"320–330","330+")))</f>
        <v>310–320</v>
      </c>
      <c r="C406">
        <v>101</v>
      </c>
      <c r="D406">
        <v>3</v>
      </c>
      <c r="E406">
        <v>2</v>
      </c>
      <c r="F406">
        <v>2.5</v>
      </c>
      <c r="G406">
        <v>7.64</v>
      </c>
      <c r="H406" t="str">
        <f t="shared" si="6"/>
        <v>7.5–8.0</v>
      </c>
      <c r="I406">
        <v>1</v>
      </c>
      <c r="J406">
        <v>0.62</v>
      </c>
    </row>
    <row r="407" spans="1:10" x14ac:dyDescent="0.35">
      <c r="A407">
        <v>302</v>
      </c>
      <c r="B407" t="str">
        <f>IF(Table1[[#This Row],[GRE Score]]&lt;=310,"300–310", IF(Table1[[#This Row],[GRE Score]]&lt;=320,"310–320", IF(Table1[[#This Row],[GRE Score]]&lt;=330,"320–330","330+")))</f>
        <v>300–310</v>
      </c>
      <c r="C407">
        <v>99</v>
      </c>
      <c r="D407">
        <v>3</v>
      </c>
      <c r="E407">
        <v>2.5</v>
      </c>
      <c r="F407">
        <v>3</v>
      </c>
      <c r="G407">
        <v>7.45</v>
      </c>
      <c r="H407" t="str">
        <f t="shared" si="6"/>
        <v>7.5–8.0</v>
      </c>
      <c r="I407">
        <v>0</v>
      </c>
      <c r="J407">
        <v>0.52</v>
      </c>
    </row>
    <row r="408" spans="1:10" x14ac:dyDescent="0.35">
      <c r="A408">
        <v>322</v>
      </c>
      <c r="B408" t="str">
        <f>IF(Table1[[#This Row],[GRE Score]]&lt;=310,"300–310", IF(Table1[[#This Row],[GRE Score]]&lt;=320,"310–320", IF(Table1[[#This Row],[GRE Score]]&lt;=330,"320–330","330+")))</f>
        <v>320–330</v>
      </c>
      <c r="C408">
        <v>103</v>
      </c>
      <c r="D408">
        <v>4</v>
      </c>
      <c r="E408">
        <v>3</v>
      </c>
      <c r="F408">
        <v>2.5</v>
      </c>
      <c r="G408">
        <v>8.02</v>
      </c>
      <c r="H408" t="str">
        <f t="shared" si="6"/>
        <v>8.0–8.5</v>
      </c>
      <c r="I408">
        <v>1</v>
      </c>
      <c r="J408">
        <v>0.61</v>
      </c>
    </row>
    <row r="409" spans="1:10" x14ac:dyDescent="0.35">
      <c r="A409">
        <v>298</v>
      </c>
      <c r="B409" t="str">
        <f>IF(Table1[[#This Row],[GRE Score]]&lt;=310,"300–310", IF(Table1[[#This Row],[GRE Score]]&lt;=320,"310–320", IF(Table1[[#This Row],[GRE Score]]&lt;=330,"320–330","330+")))</f>
        <v>300–310</v>
      </c>
      <c r="C409">
        <v>100</v>
      </c>
      <c r="D409">
        <v>3</v>
      </c>
      <c r="E409">
        <v>2.5</v>
      </c>
      <c r="F409">
        <v>4</v>
      </c>
      <c r="G409">
        <v>7.95</v>
      </c>
      <c r="H409" t="str">
        <f t="shared" si="6"/>
        <v>7.5–8.0</v>
      </c>
      <c r="I409">
        <v>1</v>
      </c>
      <c r="J409">
        <v>0.57999999999999996</v>
      </c>
    </row>
    <row r="410" spans="1:10" x14ac:dyDescent="0.35">
      <c r="A410">
        <v>297</v>
      </c>
      <c r="B410" t="str">
        <f>IF(Table1[[#This Row],[GRE Score]]&lt;=310,"300–310", IF(Table1[[#This Row],[GRE Score]]&lt;=320,"310–320", IF(Table1[[#This Row],[GRE Score]]&lt;=330,"320–330","330+")))</f>
        <v>300–310</v>
      </c>
      <c r="C410">
        <v>101</v>
      </c>
      <c r="D410">
        <v>3</v>
      </c>
      <c r="E410">
        <v>2</v>
      </c>
      <c r="F410">
        <v>4</v>
      </c>
      <c r="G410">
        <v>7.67</v>
      </c>
      <c r="H410" t="str">
        <f t="shared" si="6"/>
        <v>7.5–8.0</v>
      </c>
      <c r="I410">
        <v>1</v>
      </c>
      <c r="J410">
        <v>0.56999999999999995</v>
      </c>
    </row>
    <row r="411" spans="1:10" x14ac:dyDescent="0.35">
      <c r="A411">
        <v>300</v>
      </c>
      <c r="B411" t="str">
        <f>IF(Table1[[#This Row],[GRE Score]]&lt;=310,"300–310", IF(Table1[[#This Row],[GRE Score]]&lt;=320,"310–320", IF(Table1[[#This Row],[GRE Score]]&lt;=330,"320–330","330+")))</f>
        <v>300–310</v>
      </c>
      <c r="C411">
        <v>98</v>
      </c>
      <c r="D411">
        <v>1</v>
      </c>
      <c r="E411">
        <v>2</v>
      </c>
      <c r="F411">
        <v>2.5</v>
      </c>
      <c r="G411">
        <v>8.02</v>
      </c>
      <c r="H411" t="str">
        <f t="shared" si="6"/>
        <v>8.0–8.5</v>
      </c>
      <c r="I411">
        <v>0</v>
      </c>
      <c r="J411">
        <v>0.61</v>
      </c>
    </row>
    <row r="412" spans="1:10" x14ac:dyDescent="0.35">
      <c r="A412">
        <v>301</v>
      </c>
      <c r="B412" t="str">
        <f>IF(Table1[[#This Row],[GRE Score]]&lt;=310,"300–310", IF(Table1[[#This Row],[GRE Score]]&lt;=320,"310–320", IF(Table1[[#This Row],[GRE Score]]&lt;=330,"320–330","330+")))</f>
        <v>300–310</v>
      </c>
      <c r="C412">
        <v>96</v>
      </c>
      <c r="D412">
        <v>1</v>
      </c>
      <c r="E412">
        <v>3</v>
      </c>
      <c r="F412">
        <v>4</v>
      </c>
      <c r="G412">
        <v>7.56</v>
      </c>
      <c r="H412" t="str">
        <f t="shared" si="6"/>
        <v>7.5–8.0</v>
      </c>
      <c r="I412">
        <v>0</v>
      </c>
      <c r="J412">
        <v>0.54</v>
      </c>
    </row>
    <row r="413" spans="1:10" x14ac:dyDescent="0.35">
      <c r="A413">
        <v>313</v>
      </c>
      <c r="B413" t="str">
        <f>IF(Table1[[#This Row],[GRE Score]]&lt;=310,"300–310", IF(Table1[[#This Row],[GRE Score]]&lt;=320,"310–320", IF(Table1[[#This Row],[GRE Score]]&lt;=330,"320–330","330+")))</f>
        <v>310–320</v>
      </c>
      <c r="C413">
        <v>94</v>
      </c>
      <c r="D413">
        <v>2</v>
      </c>
      <c r="E413">
        <v>2.5</v>
      </c>
      <c r="F413">
        <v>1.5</v>
      </c>
      <c r="G413">
        <v>8.1300000000000008</v>
      </c>
      <c r="H413" t="str">
        <f t="shared" si="6"/>
        <v>8.0–8.5</v>
      </c>
      <c r="I413">
        <v>0</v>
      </c>
      <c r="J413">
        <v>0.56000000000000005</v>
      </c>
    </row>
    <row r="414" spans="1:10" x14ac:dyDescent="0.35">
      <c r="A414">
        <v>314</v>
      </c>
      <c r="B414" t="str">
        <f>IF(Table1[[#This Row],[GRE Score]]&lt;=310,"300–310", IF(Table1[[#This Row],[GRE Score]]&lt;=320,"310–320", IF(Table1[[#This Row],[GRE Score]]&lt;=330,"320–330","330+")))</f>
        <v>310–320</v>
      </c>
      <c r="C414">
        <v>102</v>
      </c>
      <c r="D414">
        <v>4</v>
      </c>
      <c r="E414">
        <v>2.5</v>
      </c>
      <c r="F414">
        <v>2</v>
      </c>
      <c r="G414">
        <v>7.88</v>
      </c>
      <c r="H414" t="str">
        <f t="shared" si="6"/>
        <v>7.5–8.0</v>
      </c>
      <c r="I414">
        <v>1</v>
      </c>
      <c r="J414">
        <v>0.59</v>
      </c>
    </row>
    <row r="415" spans="1:10" x14ac:dyDescent="0.35">
      <c r="A415">
        <v>317</v>
      </c>
      <c r="B415" t="str">
        <f>IF(Table1[[#This Row],[GRE Score]]&lt;=310,"300–310", IF(Table1[[#This Row],[GRE Score]]&lt;=320,"310–320", IF(Table1[[#This Row],[GRE Score]]&lt;=330,"320–330","330+")))</f>
        <v>310–320</v>
      </c>
      <c r="C415">
        <v>101</v>
      </c>
      <c r="D415">
        <v>3</v>
      </c>
      <c r="E415">
        <v>3</v>
      </c>
      <c r="F415">
        <v>2</v>
      </c>
      <c r="G415">
        <v>7.94</v>
      </c>
      <c r="H415" t="str">
        <f t="shared" si="6"/>
        <v>7.5–8.0</v>
      </c>
      <c r="I415">
        <v>1</v>
      </c>
      <c r="J415">
        <v>0.49</v>
      </c>
    </row>
    <row r="416" spans="1:10" x14ac:dyDescent="0.35">
      <c r="A416">
        <v>321</v>
      </c>
      <c r="B416" t="str">
        <f>IF(Table1[[#This Row],[GRE Score]]&lt;=310,"300–310", IF(Table1[[#This Row],[GRE Score]]&lt;=320,"310–320", IF(Table1[[#This Row],[GRE Score]]&lt;=330,"320–330","330+")))</f>
        <v>320–330</v>
      </c>
      <c r="C416">
        <v>110</v>
      </c>
      <c r="D416">
        <v>4</v>
      </c>
      <c r="E416">
        <v>3.5</v>
      </c>
      <c r="F416">
        <v>4</v>
      </c>
      <c r="G416">
        <v>8.35</v>
      </c>
      <c r="H416" t="str">
        <f t="shared" si="6"/>
        <v>8.0–8.5</v>
      </c>
      <c r="I416">
        <v>1</v>
      </c>
      <c r="J416">
        <v>0.72</v>
      </c>
    </row>
    <row r="417" spans="1:10" x14ac:dyDescent="0.35">
      <c r="A417">
        <v>327</v>
      </c>
      <c r="B417" t="str">
        <f>IF(Table1[[#This Row],[GRE Score]]&lt;=310,"300–310", IF(Table1[[#This Row],[GRE Score]]&lt;=320,"310–320", IF(Table1[[#This Row],[GRE Score]]&lt;=330,"320–330","330+")))</f>
        <v>320–330</v>
      </c>
      <c r="C417">
        <v>106</v>
      </c>
      <c r="D417">
        <v>4</v>
      </c>
      <c r="E417">
        <v>4</v>
      </c>
      <c r="F417">
        <v>4.5</v>
      </c>
      <c r="G417">
        <v>8.75</v>
      </c>
      <c r="H417" t="str">
        <f t="shared" si="6"/>
        <v>8.5–9.0</v>
      </c>
      <c r="I417">
        <v>1</v>
      </c>
      <c r="J417">
        <v>0.76</v>
      </c>
    </row>
    <row r="418" spans="1:10" x14ac:dyDescent="0.35">
      <c r="A418">
        <v>315</v>
      </c>
      <c r="B418" t="str">
        <f>IF(Table1[[#This Row],[GRE Score]]&lt;=310,"300–310", IF(Table1[[#This Row],[GRE Score]]&lt;=320,"310–320", IF(Table1[[#This Row],[GRE Score]]&lt;=330,"320–330","330+")))</f>
        <v>310–320</v>
      </c>
      <c r="C418">
        <v>104</v>
      </c>
      <c r="D418">
        <v>3</v>
      </c>
      <c r="E418">
        <v>4</v>
      </c>
      <c r="F418">
        <v>2.5</v>
      </c>
      <c r="G418">
        <v>8.1</v>
      </c>
      <c r="H418" t="str">
        <f t="shared" si="6"/>
        <v>8.0–8.5</v>
      </c>
      <c r="I418">
        <v>0</v>
      </c>
      <c r="J418">
        <v>0.65</v>
      </c>
    </row>
    <row r="419" spans="1:10" x14ac:dyDescent="0.35">
      <c r="A419">
        <v>316</v>
      </c>
      <c r="B419" t="str">
        <f>IF(Table1[[#This Row],[GRE Score]]&lt;=310,"300–310", IF(Table1[[#This Row],[GRE Score]]&lt;=320,"310–320", IF(Table1[[#This Row],[GRE Score]]&lt;=330,"320–330","330+")))</f>
        <v>310–320</v>
      </c>
      <c r="C419">
        <v>103</v>
      </c>
      <c r="D419">
        <v>3</v>
      </c>
      <c r="E419">
        <v>3.5</v>
      </c>
      <c r="F419">
        <v>2</v>
      </c>
      <c r="G419">
        <v>7.68</v>
      </c>
      <c r="H419" t="str">
        <f t="shared" si="6"/>
        <v>7.5–8.0</v>
      </c>
      <c r="I419">
        <v>0</v>
      </c>
      <c r="J419">
        <v>0.52</v>
      </c>
    </row>
    <row r="420" spans="1:10" x14ac:dyDescent="0.35">
      <c r="A420">
        <v>309</v>
      </c>
      <c r="B420" t="str">
        <f>IF(Table1[[#This Row],[GRE Score]]&lt;=310,"300–310", IF(Table1[[#This Row],[GRE Score]]&lt;=320,"310–320", IF(Table1[[#This Row],[GRE Score]]&lt;=330,"320–330","330+")))</f>
        <v>300–310</v>
      </c>
      <c r="C420">
        <v>111</v>
      </c>
      <c r="D420">
        <v>2</v>
      </c>
      <c r="E420">
        <v>2.5</v>
      </c>
      <c r="F420">
        <v>4</v>
      </c>
      <c r="G420">
        <v>8.0299999999999994</v>
      </c>
      <c r="H420" t="str">
        <f t="shared" si="6"/>
        <v>8.0–8.5</v>
      </c>
      <c r="I420">
        <v>0</v>
      </c>
      <c r="J420">
        <v>0.6</v>
      </c>
    </row>
    <row r="421" spans="1:10" x14ac:dyDescent="0.35">
      <c r="A421">
        <v>308</v>
      </c>
      <c r="B421" t="str">
        <f>IF(Table1[[#This Row],[GRE Score]]&lt;=310,"300–310", IF(Table1[[#This Row],[GRE Score]]&lt;=320,"310–320", IF(Table1[[#This Row],[GRE Score]]&lt;=330,"320–330","330+")))</f>
        <v>300–310</v>
      </c>
      <c r="C421">
        <v>102</v>
      </c>
      <c r="D421">
        <v>2</v>
      </c>
      <c r="E421">
        <v>2</v>
      </c>
      <c r="F421">
        <v>3.5</v>
      </c>
      <c r="G421">
        <v>7.98</v>
      </c>
      <c r="H421" t="str">
        <f t="shared" si="6"/>
        <v>7.5–8.0</v>
      </c>
      <c r="I421">
        <v>1</v>
      </c>
      <c r="J421">
        <v>0.57999999999999996</v>
      </c>
    </row>
    <row r="422" spans="1:10" x14ac:dyDescent="0.35">
      <c r="A422">
        <v>299</v>
      </c>
      <c r="B422" t="str">
        <f>IF(Table1[[#This Row],[GRE Score]]&lt;=310,"300–310", IF(Table1[[#This Row],[GRE Score]]&lt;=320,"310–320", IF(Table1[[#This Row],[GRE Score]]&lt;=330,"320–330","330+")))</f>
        <v>300–310</v>
      </c>
      <c r="C422">
        <v>100</v>
      </c>
      <c r="D422">
        <v>3</v>
      </c>
      <c r="E422">
        <v>2</v>
      </c>
      <c r="F422">
        <v>3</v>
      </c>
      <c r="G422">
        <v>7.42</v>
      </c>
      <c r="H422" t="str">
        <f t="shared" si="6"/>
        <v>7.5–8.0</v>
      </c>
      <c r="I422">
        <v>0</v>
      </c>
      <c r="J422">
        <v>0.42</v>
      </c>
    </row>
    <row r="423" spans="1:10" x14ac:dyDescent="0.35">
      <c r="A423">
        <v>321</v>
      </c>
      <c r="B423" t="str">
        <f>IF(Table1[[#This Row],[GRE Score]]&lt;=310,"300–310", IF(Table1[[#This Row],[GRE Score]]&lt;=320,"310–320", IF(Table1[[#This Row],[GRE Score]]&lt;=330,"320–330","330+")))</f>
        <v>320–330</v>
      </c>
      <c r="C423">
        <v>112</v>
      </c>
      <c r="D423">
        <v>3</v>
      </c>
      <c r="E423">
        <v>3</v>
      </c>
      <c r="F423">
        <v>4.5</v>
      </c>
      <c r="G423">
        <v>8.9499999999999993</v>
      </c>
      <c r="H423" t="str">
        <f t="shared" si="6"/>
        <v>8.5–9.0</v>
      </c>
      <c r="I423">
        <v>1</v>
      </c>
      <c r="J423">
        <v>0.77</v>
      </c>
    </row>
    <row r="424" spans="1:10" x14ac:dyDescent="0.35">
      <c r="A424">
        <v>322</v>
      </c>
      <c r="B424" t="str">
        <f>IF(Table1[[#This Row],[GRE Score]]&lt;=310,"300–310", IF(Table1[[#This Row],[GRE Score]]&lt;=320,"310–320", IF(Table1[[#This Row],[GRE Score]]&lt;=330,"320–330","330+")))</f>
        <v>320–330</v>
      </c>
      <c r="C424">
        <v>112</v>
      </c>
      <c r="D424">
        <v>4</v>
      </c>
      <c r="E424">
        <v>3.5</v>
      </c>
      <c r="F424">
        <v>2.5</v>
      </c>
      <c r="G424">
        <v>9.02</v>
      </c>
      <c r="H424" t="str">
        <f t="shared" si="6"/>
        <v>9.0+</v>
      </c>
      <c r="I424">
        <v>1</v>
      </c>
      <c r="J424">
        <v>0.73</v>
      </c>
    </row>
    <row r="425" spans="1:10" x14ac:dyDescent="0.35">
      <c r="A425">
        <v>334</v>
      </c>
      <c r="B425" t="str">
        <f>IF(Table1[[#This Row],[GRE Score]]&lt;=310,"300–310", IF(Table1[[#This Row],[GRE Score]]&lt;=320,"310–320", IF(Table1[[#This Row],[GRE Score]]&lt;=330,"320–330","330+")))</f>
        <v>330+</v>
      </c>
      <c r="C425">
        <v>119</v>
      </c>
      <c r="D425">
        <v>5</v>
      </c>
      <c r="E425">
        <v>4.5</v>
      </c>
      <c r="F425">
        <v>5</v>
      </c>
      <c r="G425">
        <v>9.5399999999999991</v>
      </c>
      <c r="H425" t="str">
        <f t="shared" si="6"/>
        <v>9.0+</v>
      </c>
      <c r="I425">
        <v>1</v>
      </c>
      <c r="J425">
        <v>0.94</v>
      </c>
    </row>
    <row r="426" spans="1:10" x14ac:dyDescent="0.35">
      <c r="A426">
        <v>325</v>
      </c>
      <c r="B426" t="str">
        <f>IF(Table1[[#This Row],[GRE Score]]&lt;=310,"300–310", IF(Table1[[#This Row],[GRE Score]]&lt;=320,"310–320", IF(Table1[[#This Row],[GRE Score]]&lt;=330,"320–330","330+")))</f>
        <v>320–330</v>
      </c>
      <c r="C426">
        <v>114</v>
      </c>
      <c r="D426">
        <v>5</v>
      </c>
      <c r="E426">
        <v>4</v>
      </c>
      <c r="F426">
        <v>5</v>
      </c>
      <c r="G426">
        <v>9.4600000000000009</v>
      </c>
      <c r="H426" t="str">
        <f t="shared" si="6"/>
        <v>9.0+</v>
      </c>
      <c r="I426">
        <v>1</v>
      </c>
      <c r="J426">
        <v>0.91</v>
      </c>
    </row>
    <row r="427" spans="1:10" x14ac:dyDescent="0.35">
      <c r="A427">
        <v>323</v>
      </c>
      <c r="B427" t="str">
        <f>IF(Table1[[#This Row],[GRE Score]]&lt;=310,"300–310", IF(Table1[[#This Row],[GRE Score]]&lt;=320,"310–320", IF(Table1[[#This Row],[GRE Score]]&lt;=330,"320–330","330+")))</f>
        <v>320–330</v>
      </c>
      <c r="C427">
        <v>111</v>
      </c>
      <c r="D427">
        <v>5</v>
      </c>
      <c r="E427">
        <v>4</v>
      </c>
      <c r="F427">
        <v>5</v>
      </c>
      <c r="G427">
        <v>9.86</v>
      </c>
      <c r="H427" t="str">
        <f t="shared" si="6"/>
        <v>9.0+</v>
      </c>
      <c r="I427">
        <v>1</v>
      </c>
      <c r="J427">
        <v>0.92</v>
      </c>
    </row>
    <row r="428" spans="1:10" x14ac:dyDescent="0.35">
      <c r="A428">
        <v>312</v>
      </c>
      <c r="B428" t="str">
        <f>IF(Table1[[#This Row],[GRE Score]]&lt;=310,"300–310", IF(Table1[[#This Row],[GRE Score]]&lt;=320,"310–320", IF(Table1[[#This Row],[GRE Score]]&lt;=330,"320–330","330+")))</f>
        <v>310–320</v>
      </c>
      <c r="C428">
        <v>106</v>
      </c>
      <c r="D428">
        <v>3</v>
      </c>
      <c r="E428">
        <v>3</v>
      </c>
      <c r="F428">
        <v>5</v>
      </c>
      <c r="G428">
        <v>8.57</v>
      </c>
      <c r="H428" t="str">
        <f t="shared" si="6"/>
        <v>8.5–9.0</v>
      </c>
      <c r="I428">
        <v>0</v>
      </c>
      <c r="J428">
        <v>0.71</v>
      </c>
    </row>
    <row r="429" spans="1:10" x14ac:dyDescent="0.35">
      <c r="A429">
        <v>310</v>
      </c>
      <c r="B429" t="str">
        <f>IF(Table1[[#This Row],[GRE Score]]&lt;=310,"300–310", IF(Table1[[#This Row],[GRE Score]]&lt;=320,"310–320", IF(Table1[[#This Row],[GRE Score]]&lt;=330,"320–330","330+")))</f>
        <v>300–310</v>
      </c>
      <c r="C429">
        <v>101</v>
      </c>
      <c r="D429">
        <v>3</v>
      </c>
      <c r="E429">
        <v>3.5</v>
      </c>
      <c r="F429">
        <v>5</v>
      </c>
      <c r="G429">
        <v>8.65</v>
      </c>
      <c r="H429" t="str">
        <f t="shared" si="6"/>
        <v>8.5–9.0</v>
      </c>
      <c r="I429">
        <v>1</v>
      </c>
      <c r="J429">
        <v>0.71</v>
      </c>
    </row>
    <row r="430" spans="1:10" x14ac:dyDescent="0.35">
      <c r="A430">
        <v>316</v>
      </c>
      <c r="B430" t="str">
        <f>IF(Table1[[#This Row],[GRE Score]]&lt;=310,"300–310", IF(Table1[[#This Row],[GRE Score]]&lt;=320,"310–320", IF(Table1[[#This Row],[GRE Score]]&lt;=330,"320–330","330+")))</f>
        <v>310–320</v>
      </c>
      <c r="C430">
        <v>103</v>
      </c>
      <c r="D430">
        <v>2</v>
      </c>
      <c r="E430">
        <v>2</v>
      </c>
      <c r="F430">
        <v>4.5</v>
      </c>
      <c r="G430">
        <v>8.74</v>
      </c>
      <c r="H430" t="str">
        <f t="shared" si="6"/>
        <v>8.5–9.0</v>
      </c>
      <c r="I430">
        <v>0</v>
      </c>
      <c r="J430">
        <v>0.69</v>
      </c>
    </row>
    <row r="431" spans="1:10" x14ac:dyDescent="0.35">
      <c r="A431">
        <v>340</v>
      </c>
      <c r="B431" t="str">
        <f>IF(Table1[[#This Row],[GRE Score]]&lt;=310,"300–310", IF(Table1[[#This Row],[GRE Score]]&lt;=320,"310–320", IF(Table1[[#This Row],[GRE Score]]&lt;=330,"320–330","330+")))</f>
        <v>330+</v>
      </c>
      <c r="C431">
        <v>115</v>
      </c>
      <c r="D431">
        <v>5</v>
      </c>
      <c r="E431">
        <v>5</v>
      </c>
      <c r="F431">
        <v>4.5</v>
      </c>
      <c r="G431">
        <v>9.06</v>
      </c>
      <c r="H431" t="str">
        <f t="shared" si="6"/>
        <v>9.0+</v>
      </c>
      <c r="I431">
        <v>1</v>
      </c>
      <c r="J431">
        <v>0.95</v>
      </c>
    </row>
    <row r="432" spans="1:10" x14ac:dyDescent="0.35">
      <c r="A432">
        <v>311</v>
      </c>
      <c r="B432" t="str">
        <f>IF(Table1[[#This Row],[GRE Score]]&lt;=310,"300–310", IF(Table1[[#This Row],[GRE Score]]&lt;=320,"310–320", IF(Table1[[#This Row],[GRE Score]]&lt;=330,"320–330","330+")))</f>
        <v>310–320</v>
      </c>
      <c r="C432">
        <v>104</v>
      </c>
      <c r="D432">
        <v>3</v>
      </c>
      <c r="E432">
        <v>4</v>
      </c>
      <c r="F432">
        <v>3.5</v>
      </c>
      <c r="G432">
        <v>8.1300000000000008</v>
      </c>
      <c r="H432" t="str">
        <f t="shared" si="6"/>
        <v>8.0–8.5</v>
      </c>
      <c r="I432">
        <v>1</v>
      </c>
      <c r="J432">
        <v>0.74</v>
      </c>
    </row>
    <row r="433" spans="1:10" x14ac:dyDescent="0.35">
      <c r="A433">
        <v>320</v>
      </c>
      <c r="B433" t="str">
        <f>IF(Table1[[#This Row],[GRE Score]]&lt;=310,"300–310", IF(Table1[[#This Row],[GRE Score]]&lt;=320,"310–320", IF(Table1[[#This Row],[GRE Score]]&lt;=330,"320–330","330+")))</f>
        <v>310–320</v>
      </c>
      <c r="C433">
        <v>112</v>
      </c>
      <c r="D433">
        <v>2</v>
      </c>
      <c r="E433">
        <v>3.5</v>
      </c>
      <c r="F433">
        <v>3.5</v>
      </c>
      <c r="G433">
        <v>8.7799999999999994</v>
      </c>
      <c r="H433" t="str">
        <f t="shared" si="6"/>
        <v>8.5–9.0</v>
      </c>
      <c r="I433">
        <v>1</v>
      </c>
      <c r="J433">
        <v>0.73</v>
      </c>
    </row>
    <row r="434" spans="1:10" x14ac:dyDescent="0.35">
      <c r="A434">
        <v>324</v>
      </c>
      <c r="B434" t="str">
        <f>IF(Table1[[#This Row],[GRE Score]]&lt;=310,"300–310", IF(Table1[[#This Row],[GRE Score]]&lt;=320,"310–320", IF(Table1[[#This Row],[GRE Score]]&lt;=330,"320–330","330+")))</f>
        <v>320–330</v>
      </c>
      <c r="C434">
        <v>112</v>
      </c>
      <c r="D434">
        <v>4</v>
      </c>
      <c r="E434">
        <v>4.5</v>
      </c>
      <c r="F434">
        <v>4</v>
      </c>
      <c r="G434">
        <v>9.2200000000000006</v>
      </c>
      <c r="H434" t="str">
        <f t="shared" si="6"/>
        <v>9.0+</v>
      </c>
      <c r="I434">
        <v>1</v>
      </c>
      <c r="J434">
        <v>0.86</v>
      </c>
    </row>
    <row r="435" spans="1:10" x14ac:dyDescent="0.35">
      <c r="A435">
        <v>316</v>
      </c>
      <c r="B435" t="str">
        <f>IF(Table1[[#This Row],[GRE Score]]&lt;=310,"300–310", IF(Table1[[#This Row],[GRE Score]]&lt;=320,"310–320", IF(Table1[[#This Row],[GRE Score]]&lt;=330,"320–330","330+")))</f>
        <v>310–320</v>
      </c>
      <c r="C435">
        <v>111</v>
      </c>
      <c r="D435">
        <v>4</v>
      </c>
      <c r="E435">
        <v>4</v>
      </c>
      <c r="F435">
        <v>5</v>
      </c>
      <c r="G435">
        <v>8.5399999999999991</v>
      </c>
      <c r="H435" t="str">
        <f t="shared" si="6"/>
        <v>8.5–9.0</v>
      </c>
      <c r="I435">
        <v>0</v>
      </c>
      <c r="J435">
        <v>0.71</v>
      </c>
    </row>
    <row r="436" spans="1:10" x14ac:dyDescent="0.35">
      <c r="A436">
        <v>306</v>
      </c>
      <c r="B436" t="str">
        <f>IF(Table1[[#This Row],[GRE Score]]&lt;=310,"300–310", IF(Table1[[#This Row],[GRE Score]]&lt;=320,"310–320", IF(Table1[[#This Row],[GRE Score]]&lt;=330,"320–330","330+")))</f>
        <v>300–310</v>
      </c>
      <c r="C436">
        <v>103</v>
      </c>
      <c r="D436">
        <v>3</v>
      </c>
      <c r="E436">
        <v>3.5</v>
      </c>
      <c r="F436">
        <v>3</v>
      </c>
      <c r="G436">
        <v>8.2100000000000009</v>
      </c>
      <c r="H436" t="str">
        <f t="shared" si="6"/>
        <v>8.0–8.5</v>
      </c>
      <c r="I436">
        <v>0</v>
      </c>
      <c r="J436">
        <v>0.64</v>
      </c>
    </row>
    <row r="437" spans="1:10" x14ac:dyDescent="0.35">
      <c r="A437">
        <v>309</v>
      </c>
      <c r="B437" t="str">
        <f>IF(Table1[[#This Row],[GRE Score]]&lt;=310,"300–310", IF(Table1[[#This Row],[GRE Score]]&lt;=320,"310–320", IF(Table1[[#This Row],[GRE Score]]&lt;=330,"320–330","330+")))</f>
        <v>300–310</v>
      </c>
      <c r="C437">
        <v>105</v>
      </c>
      <c r="D437">
        <v>2</v>
      </c>
      <c r="E437">
        <v>2.5</v>
      </c>
      <c r="F437">
        <v>4</v>
      </c>
      <c r="G437">
        <v>7.68</v>
      </c>
      <c r="H437" t="str">
        <f t="shared" si="6"/>
        <v>7.5–8.0</v>
      </c>
      <c r="I437">
        <v>0</v>
      </c>
      <c r="J437">
        <v>0.55000000000000004</v>
      </c>
    </row>
    <row r="438" spans="1:10" x14ac:dyDescent="0.35">
      <c r="A438">
        <v>310</v>
      </c>
      <c r="B438" t="str">
        <f>IF(Table1[[#This Row],[GRE Score]]&lt;=310,"300–310", IF(Table1[[#This Row],[GRE Score]]&lt;=320,"310–320", IF(Table1[[#This Row],[GRE Score]]&lt;=330,"320–330","330+")))</f>
        <v>300–310</v>
      </c>
      <c r="C438">
        <v>110</v>
      </c>
      <c r="D438">
        <v>1</v>
      </c>
      <c r="E438">
        <v>1.5</v>
      </c>
      <c r="F438">
        <v>4</v>
      </c>
      <c r="G438">
        <v>7.23</v>
      </c>
      <c r="H438" t="str">
        <f t="shared" si="6"/>
        <v>7.5–8.0</v>
      </c>
      <c r="I438">
        <v>1</v>
      </c>
      <c r="J438">
        <v>0.57999999999999996</v>
      </c>
    </row>
    <row r="439" spans="1:10" x14ac:dyDescent="0.35">
      <c r="A439">
        <v>317</v>
      </c>
      <c r="B439" t="str">
        <f>IF(Table1[[#This Row],[GRE Score]]&lt;=310,"300–310", IF(Table1[[#This Row],[GRE Score]]&lt;=320,"310–320", IF(Table1[[#This Row],[GRE Score]]&lt;=330,"320–330","330+")))</f>
        <v>310–320</v>
      </c>
      <c r="C439">
        <v>106</v>
      </c>
      <c r="D439">
        <v>1</v>
      </c>
      <c r="E439">
        <v>1.5</v>
      </c>
      <c r="F439">
        <v>3.5</v>
      </c>
      <c r="G439">
        <v>7.65</v>
      </c>
      <c r="H439" t="str">
        <f t="shared" si="6"/>
        <v>7.5–8.0</v>
      </c>
      <c r="I439">
        <v>1</v>
      </c>
      <c r="J439">
        <v>0.61</v>
      </c>
    </row>
    <row r="440" spans="1:10" x14ac:dyDescent="0.35">
      <c r="A440">
        <v>318</v>
      </c>
      <c r="B440" t="str">
        <f>IF(Table1[[#This Row],[GRE Score]]&lt;=310,"300–310", IF(Table1[[#This Row],[GRE Score]]&lt;=320,"310–320", IF(Table1[[#This Row],[GRE Score]]&lt;=330,"320–330","330+")))</f>
        <v>310–320</v>
      </c>
      <c r="C440">
        <v>110</v>
      </c>
      <c r="D440">
        <v>1</v>
      </c>
      <c r="E440">
        <v>2.5</v>
      </c>
      <c r="F440">
        <v>3.5</v>
      </c>
      <c r="G440">
        <v>8.5399999999999991</v>
      </c>
      <c r="H440" t="str">
        <f t="shared" si="6"/>
        <v>8.5–9.0</v>
      </c>
      <c r="I440">
        <v>1</v>
      </c>
      <c r="J440">
        <v>0.67</v>
      </c>
    </row>
    <row r="441" spans="1:10" x14ac:dyDescent="0.35">
      <c r="A441">
        <v>312</v>
      </c>
      <c r="B441" t="str">
        <f>IF(Table1[[#This Row],[GRE Score]]&lt;=310,"300–310", IF(Table1[[#This Row],[GRE Score]]&lt;=320,"310–320", IF(Table1[[#This Row],[GRE Score]]&lt;=330,"320–330","330+")))</f>
        <v>310–320</v>
      </c>
      <c r="C441">
        <v>105</v>
      </c>
      <c r="D441">
        <v>2</v>
      </c>
      <c r="E441">
        <v>1.5</v>
      </c>
      <c r="F441">
        <v>3</v>
      </c>
      <c r="G441">
        <v>8.4600000000000009</v>
      </c>
      <c r="H441" t="str">
        <f t="shared" si="6"/>
        <v>8.0–8.5</v>
      </c>
      <c r="I441">
        <v>0</v>
      </c>
      <c r="J441">
        <v>0.66</v>
      </c>
    </row>
    <row r="442" spans="1:10" x14ac:dyDescent="0.35">
      <c r="A442">
        <v>305</v>
      </c>
      <c r="B442" t="str">
        <f>IF(Table1[[#This Row],[GRE Score]]&lt;=310,"300–310", IF(Table1[[#This Row],[GRE Score]]&lt;=320,"310–320", IF(Table1[[#This Row],[GRE Score]]&lt;=330,"320–330","330+")))</f>
        <v>300–310</v>
      </c>
      <c r="C442">
        <v>104</v>
      </c>
      <c r="D442">
        <v>2</v>
      </c>
      <c r="E442">
        <v>2.5</v>
      </c>
      <c r="F442">
        <v>1.5</v>
      </c>
      <c r="G442">
        <v>7.79</v>
      </c>
      <c r="H442" t="str">
        <f t="shared" si="6"/>
        <v>7.5–8.0</v>
      </c>
      <c r="I442">
        <v>0</v>
      </c>
      <c r="J442">
        <v>0.53</v>
      </c>
    </row>
    <row r="443" spans="1:10" x14ac:dyDescent="0.35">
      <c r="A443">
        <v>332</v>
      </c>
      <c r="B443" t="str">
        <f>IF(Table1[[#This Row],[GRE Score]]&lt;=310,"300–310", IF(Table1[[#This Row],[GRE Score]]&lt;=320,"310–320", IF(Table1[[#This Row],[GRE Score]]&lt;=330,"320–330","330+")))</f>
        <v>330+</v>
      </c>
      <c r="C443">
        <v>112</v>
      </c>
      <c r="D443">
        <v>1</v>
      </c>
      <c r="E443">
        <v>1.5</v>
      </c>
      <c r="F443">
        <v>3</v>
      </c>
      <c r="G443">
        <v>8.66</v>
      </c>
      <c r="H443" t="str">
        <f t="shared" si="6"/>
        <v>8.5–9.0</v>
      </c>
      <c r="I443">
        <v>1</v>
      </c>
      <c r="J443">
        <v>0.79</v>
      </c>
    </row>
    <row r="444" spans="1:10" x14ac:dyDescent="0.35">
      <c r="A444">
        <v>331</v>
      </c>
      <c r="B444" t="str">
        <f>IF(Table1[[#This Row],[GRE Score]]&lt;=310,"300–310", IF(Table1[[#This Row],[GRE Score]]&lt;=320,"310–320", IF(Table1[[#This Row],[GRE Score]]&lt;=330,"320–330","330+")))</f>
        <v>330+</v>
      </c>
      <c r="C444">
        <v>116</v>
      </c>
      <c r="D444">
        <v>4</v>
      </c>
      <c r="E444">
        <v>4.5</v>
      </c>
      <c r="F444">
        <v>4.5</v>
      </c>
      <c r="G444">
        <v>9.44</v>
      </c>
      <c r="H444" t="str">
        <f t="shared" si="6"/>
        <v>9.0+</v>
      </c>
      <c r="I444">
        <v>1</v>
      </c>
      <c r="J444">
        <v>0.92</v>
      </c>
    </row>
    <row r="445" spans="1:10" x14ac:dyDescent="0.35">
      <c r="A445">
        <v>321</v>
      </c>
      <c r="B445" t="str">
        <f>IF(Table1[[#This Row],[GRE Score]]&lt;=310,"300–310", IF(Table1[[#This Row],[GRE Score]]&lt;=320,"310–320", IF(Table1[[#This Row],[GRE Score]]&lt;=330,"320–330","330+")))</f>
        <v>320–330</v>
      </c>
      <c r="C445">
        <v>114</v>
      </c>
      <c r="D445">
        <v>5</v>
      </c>
      <c r="E445">
        <v>4.5</v>
      </c>
      <c r="F445">
        <v>4.5</v>
      </c>
      <c r="G445">
        <v>9.16</v>
      </c>
      <c r="H445" t="str">
        <f t="shared" si="6"/>
        <v>9.0+</v>
      </c>
      <c r="I445">
        <v>1</v>
      </c>
      <c r="J445">
        <v>0.87</v>
      </c>
    </row>
    <row r="446" spans="1:10" x14ac:dyDescent="0.35">
      <c r="A446">
        <v>324</v>
      </c>
      <c r="B446" t="str">
        <f>IF(Table1[[#This Row],[GRE Score]]&lt;=310,"300–310", IF(Table1[[#This Row],[GRE Score]]&lt;=320,"310–320", IF(Table1[[#This Row],[GRE Score]]&lt;=330,"320–330","330+")))</f>
        <v>320–330</v>
      </c>
      <c r="C446">
        <v>113</v>
      </c>
      <c r="D446">
        <v>5</v>
      </c>
      <c r="E446">
        <v>4</v>
      </c>
      <c r="F446">
        <v>5</v>
      </c>
      <c r="G446">
        <v>9.25</v>
      </c>
      <c r="H446" t="str">
        <f t="shared" si="6"/>
        <v>9.0+</v>
      </c>
      <c r="I446">
        <v>1</v>
      </c>
      <c r="J446">
        <v>0.92</v>
      </c>
    </row>
    <row r="447" spans="1:10" x14ac:dyDescent="0.35">
      <c r="A447">
        <v>328</v>
      </c>
      <c r="B447" t="str">
        <f>IF(Table1[[#This Row],[GRE Score]]&lt;=310,"300–310", IF(Table1[[#This Row],[GRE Score]]&lt;=320,"310–320", IF(Table1[[#This Row],[GRE Score]]&lt;=330,"320–330","330+")))</f>
        <v>320–330</v>
      </c>
      <c r="C447">
        <v>116</v>
      </c>
      <c r="D447">
        <v>5</v>
      </c>
      <c r="E447">
        <v>4.5</v>
      </c>
      <c r="F447">
        <v>5</v>
      </c>
      <c r="G447">
        <v>9.08</v>
      </c>
      <c r="H447" t="str">
        <f t="shared" si="6"/>
        <v>9.0+</v>
      </c>
      <c r="I447">
        <v>1</v>
      </c>
      <c r="J447">
        <v>0.91</v>
      </c>
    </row>
    <row r="448" spans="1:10" x14ac:dyDescent="0.35">
      <c r="A448">
        <v>327</v>
      </c>
      <c r="B448" t="str">
        <f>IF(Table1[[#This Row],[GRE Score]]&lt;=310,"300–310", IF(Table1[[#This Row],[GRE Score]]&lt;=320,"310–320", IF(Table1[[#This Row],[GRE Score]]&lt;=330,"320–330","330+")))</f>
        <v>320–330</v>
      </c>
      <c r="C448">
        <v>118</v>
      </c>
      <c r="D448">
        <v>4</v>
      </c>
      <c r="E448">
        <v>5</v>
      </c>
      <c r="F448">
        <v>5</v>
      </c>
      <c r="G448">
        <v>9.67</v>
      </c>
      <c r="H448" t="str">
        <f t="shared" si="6"/>
        <v>9.0+</v>
      </c>
      <c r="I448">
        <v>1</v>
      </c>
      <c r="J448">
        <v>0.93</v>
      </c>
    </row>
    <row r="449" spans="1:10" x14ac:dyDescent="0.35">
      <c r="A449">
        <v>320</v>
      </c>
      <c r="B449" t="str">
        <f>IF(Table1[[#This Row],[GRE Score]]&lt;=310,"300–310", IF(Table1[[#This Row],[GRE Score]]&lt;=320,"310–320", IF(Table1[[#This Row],[GRE Score]]&lt;=330,"320–330","330+")))</f>
        <v>310–320</v>
      </c>
      <c r="C449">
        <v>108</v>
      </c>
      <c r="D449">
        <v>3</v>
      </c>
      <c r="E449">
        <v>3.5</v>
      </c>
      <c r="F449">
        <v>5</v>
      </c>
      <c r="G449">
        <v>8.9700000000000006</v>
      </c>
      <c r="H449" t="str">
        <f t="shared" si="6"/>
        <v>8.5–9.0</v>
      </c>
      <c r="I449">
        <v>1</v>
      </c>
      <c r="J449">
        <v>0.84</v>
      </c>
    </row>
    <row r="450" spans="1:10" x14ac:dyDescent="0.35">
      <c r="A450">
        <v>312</v>
      </c>
      <c r="B450" t="str">
        <f>IF(Table1[[#This Row],[GRE Score]]&lt;=310,"300–310", IF(Table1[[#This Row],[GRE Score]]&lt;=320,"310–320", IF(Table1[[#This Row],[GRE Score]]&lt;=330,"320–330","330+")))</f>
        <v>310–320</v>
      </c>
      <c r="C450">
        <v>109</v>
      </c>
      <c r="D450">
        <v>2</v>
      </c>
      <c r="E450">
        <v>2.5</v>
      </c>
      <c r="F450">
        <v>4</v>
      </c>
      <c r="G450">
        <v>9.02</v>
      </c>
      <c r="H450" t="str">
        <f t="shared" ref="H450:H501" si="7">IF(G450&lt;8,"7.5–8.0",
IF(G450&lt;8.5,"8.0–8.5",
IF(G450&lt;9,"8.5–9.0","9.0+")))</f>
        <v>9.0+</v>
      </c>
      <c r="I450">
        <v>0</v>
      </c>
      <c r="J450">
        <v>0.8</v>
      </c>
    </row>
    <row r="451" spans="1:10" x14ac:dyDescent="0.35">
      <c r="A451">
        <v>315</v>
      </c>
      <c r="B451" t="str">
        <f>IF(Table1[[#This Row],[GRE Score]]&lt;=310,"300–310", IF(Table1[[#This Row],[GRE Score]]&lt;=320,"310–320", IF(Table1[[#This Row],[GRE Score]]&lt;=330,"320–330","330+")))</f>
        <v>310–320</v>
      </c>
      <c r="C451">
        <v>101</v>
      </c>
      <c r="D451">
        <v>3</v>
      </c>
      <c r="E451">
        <v>3.5</v>
      </c>
      <c r="F451">
        <v>4.5</v>
      </c>
      <c r="G451">
        <v>9.1300000000000008</v>
      </c>
      <c r="H451" t="str">
        <f t="shared" si="7"/>
        <v>9.0+</v>
      </c>
      <c r="I451">
        <v>0</v>
      </c>
      <c r="J451">
        <v>0.79</v>
      </c>
    </row>
    <row r="452" spans="1:10" x14ac:dyDescent="0.35">
      <c r="A452">
        <v>320</v>
      </c>
      <c r="B452" t="str">
        <f>IF(Table1[[#This Row],[GRE Score]]&lt;=310,"300–310", IF(Table1[[#This Row],[GRE Score]]&lt;=320,"310–320", IF(Table1[[#This Row],[GRE Score]]&lt;=330,"320–330","330+")))</f>
        <v>310–320</v>
      </c>
      <c r="C452">
        <v>112</v>
      </c>
      <c r="D452">
        <v>4</v>
      </c>
      <c r="E452">
        <v>3</v>
      </c>
      <c r="F452">
        <v>4.5</v>
      </c>
      <c r="G452">
        <v>8.86</v>
      </c>
      <c r="H452" t="str">
        <f t="shared" si="7"/>
        <v>8.5–9.0</v>
      </c>
      <c r="I452">
        <v>1</v>
      </c>
      <c r="J452">
        <v>0.82</v>
      </c>
    </row>
    <row r="453" spans="1:10" x14ac:dyDescent="0.35">
      <c r="A453">
        <v>324</v>
      </c>
      <c r="B453" t="str">
        <f>IF(Table1[[#This Row],[GRE Score]]&lt;=310,"300–310", IF(Table1[[#This Row],[GRE Score]]&lt;=320,"310–320", IF(Table1[[#This Row],[GRE Score]]&lt;=330,"320–330","330+")))</f>
        <v>320–330</v>
      </c>
      <c r="C453">
        <v>113</v>
      </c>
      <c r="D453">
        <v>4</v>
      </c>
      <c r="E453">
        <v>4.5</v>
      </c>
      <c r="F453">
        <v>4.5</v>
      </c>
      <c r="G453">
        <v>9.25</v>
      </c>
      <c r="H453" t="str">
        <f t="shared" si="7"/>
        <v>9.0+</v>
      </c>
      <c r="I453">
        <v>1</v>
      </c>
      <c r="J453">
        <v>0.89</v>
      </c>
    </row>
    <row r="454" spans="1:10" x14ac:dyDescent="0.35">
      <c r="A454">
        <v>328</v>
      </c>
      <c r="B454" t="str">
        <f>IF(Table1[[#This Row],[GRE Score]]&lt;=310,"300–310", IF(Table1[[#This Row],[GRE Score]]&lt;=320,"310–320", IF(Table1[[#This Row],[GRE Score]]&lt;=330,"320–330","330+")))</f>
        <v>320–330</v>
      </c>
      <c r="C454">
        <v>116</v>
      </c>
      <c r="D454">
        <v>4</v>
      </c>
      <c r="E454">
        <v>5</v>
      </c>
      <c r="F454">
        <v>3.5</v>
      </c>
      <c r="G454">
        <v>9.6</v>
      </c>
      <c r="H454" t="str">
        <f t="shared" si="7"/>
        <v>9.0+</v>
      </c>
      <c r="I454">
        <v>1</v>
      </c>
      <c r="J454">
        <v>0.93</v>
      </c>
    </row>
    <row r="455" spans="1:10" x14ac:dyDescent="0.35">
      <c r="A455">
        <v>319</v>
      </c>
      <c r="B455" t="str">
        <f>IF(Table1[[#This Row],[GRE Score]]&lt;=310,"300–310", IF(Table1[[#This Row],[GRE Score]]&lt;=320,"310–320", IF(Table1[[#This Row],[GRE Score]]&lt;=330,"320–330","330+")))</f>
        <v>310–320</v>
      </c>
      <c r="C455">
        <v>103</v>
      </c>
      <c r="D455">
        <v>3</v>
      </c>
      <c r="E455">
        <v>2.5</v>
      </c>
      <c r="F455">
        <v>4</v>
      </c>
      <c r="G455">
        <v>8.76</v>
      </c>
      <c r="H455" t="str">
        <f t="shared" si="7"/>
        <v>8.5–9.0</v>
      </c>
      <c r="I455">
        <v>1</v>
      </c>
      <c r="J455">
        <v>0.73</v>
      </c>
    </row>
    <row r="456" spans="1:10" x14ac:dyDescent="0.35">
      <c r="A456">
        <v>310</v>
      </c>
      <c r="B456" t="str">
        <f>IF(Table1[[#This Row],[GRE Score]]&lt;=310,"300–310", IF(Table1[[#This Row],[GRE Score]]&lt;=320,"310–320", IF(Table1[[#This Row],[GRE Score]]&lt;=330,"320–330","330+")))</f>
        <v>300–310</v>
      </c>
      <c r="C456">
        <v>105</v>
      </c>
      <c r="D456">
        <v>2</v>
      </c>
      <c r="E456">
        <v>3</v>
      </c>
      <c r="F456">
        <v>3.5</v>
      </c>
      <c r="G456">
        <v>8.01</v>
      </c>
      <c r="H456" t="str">
        <f t="shared" si="7"/>
        <v>8.0–8.5</v>
      </c>
      <c r="I456">
        <v>0</v>
      </c>
      <c r="J456">
        <v>0.71</v>
      </c>
    </row>
    <row r="457" spans="1:10" x14ac:dyDescent="0.35">
      <c r="A457">
        <v>305</v>
      </c>
      <c r="B457" t="str">
        <f>IF(Table1[[#This Row],[GRE Score]]&lt;=310,"300–310", IF(Table1[[#This Row],[GRE Score]]&lt;=320,"310–320", IF(Table1[[#This Row],[GRE Score]]&lt;=330,"320–330","330+")))</f>
        <v>300–310</v>
      </c>
      <c r="C457">
        <v>102</v>
      </c>
      <c r="D457">
        <v>2</v>
      </c>
      <c r="E457">
        <v>1.5</v>
      </c>
      <c r="F457">
        <v>2.5</v>
      </c>
      <c r="G457">
        <v>7.64</v>
      </c>
      <c r="H457" t="str">
        <f t="shared" si="7"/>
        <v>7.5–8.0</v>
      </c>
      <c r="I457">
        <v>0</v>
      </c>
      <c r="J457">
        <v>0.59</v>
      </c>
    </row>
    <row r="458" spans="1:10" x14ac:dyDescent="0.35">
      <c r="A458">
        <v>299</v>
      </c>
      <c r="B458" t="str">
        <f>IF(Table1[[#This Row],[GRE Score]]&lt;=310,"300–310", IF(Table1[[#This Row],[GRE Score]]&lt;=320,"310–320", IF(Table1[[#This Row],[GRE Score]]&lt;=330,"320–330","330+")))</f>
        <v>300–310</v>
      </c>
      <c r="C458">
        <v>100</v>
      </c>
      <c r="D458">
        <v>2</v>
      </c>
      <c r="E458">
        <v>2</v>
      </c>
      <c r="F458">
        <v>2</v>
      </c>
      <c r="G458">
        <v>7.88</v>
      </c>
      <c r="H458" t="str">
        <f t="shared" si="7"/>
        <v>7.5–8.0</v>
      </c>
      <c r="I458">
        <v>0</v>
      </c>
      <c r="J458">
        <v>0.51</v>
      </c>
    </row>
    <row r="459" spans="1:10" x14ac:dyDescent="0.35">
      <c r="A459">
        <v>295</v>
      </c>
      <c r="B459" t="str">
        <f>IF(Table1[[#This Row],[GRE Score]]&lt;=310,"300–310", IF(Table1[[#This Row],[GRE Score]]&lt;=320,"310–320", IF(Table1[[#This Row],[GRE Score]]&lt;=330,"320–330","330+")))</f>
        <v>300–310</v>
      </c>
      <c r="C459">
        <v>99</v>
      </c>
      <c r="D459">
        <v>1</v>
      </c>
      <c r="E459">
        <v>2</v>
      </c>
      <c r="F459">
        <v>1.5</v>
      </c>
      <c r="G459">
        <v>7.57</v>
      </c>
      <c r="H459" t="str">
        <f t="shared" si="7"/>
        <v>7.5–8.0</v>
      </c>
      <c r="I459">
        <v>0</v>
      </c>
      <c r="J459">
        <v>0.37</v>
      </c>
    </row>
    <row r="460" spans="1:10" x14ac:dyDescent="0.35">
      <c r="A460">
        <v>312</v>
      </c>
      <c r="B460" t="str">
        <f>IF(Table1[[#This Row],[GRE Score]]&lt;=310,"300–310", IF(Table1[[#This Row],[GRE Score]]&lt;=320,"310–320", IF(Table1[[#This Row],[GRE Score]]&lt;=330,"320–330","330+")))</f>
        <v>310–320</v>
      </c>
      <c r="C460">
        <v>100</v>
      </c>
      <c r="D460">
        <v>1</v>
      </c>
      <c r="E460">
        <v>3</v>
      </c>
      <c r="F460">
        <v>3</v>
      </c>
      <c r="G460">
        <v>8.5299999999999994</v>
      </c>
      <c r="H460" t="str">
        <f t="shared" si="7"/>
        <v>8.5–9.0</v>
      </c>
      <c r="I460">
        <v>1</v>
      </c>
      <c r="J460">
        <v>0.69</v>
      </c>
    </row>
    <row r="461" spans="1:10" x14ac:dyDescent="0.35">
      <c r="A461">
        <v>329</v>
      </c>
      <c r="B461" t="str">
        <f>IF(Table1[[#This Row],[GRE Score]]&lt;=310,"300–310", IF(Table1[[#This Row],[GRE Score]]&lt;=320,"310–320", IF(Table1[[#This Row],[GRE Score]]&lt;=330,"320–330","330+")))</f>
        <v>320–330</v>
      </c>
      <c r="C461">
        <v>113</v>
      </c>
      <c r="D461">
        <v>4</v>
      </c>
      <c r="E461">
        <v>4</v>
      </c>
      <c r="F461">
        <v>3.5</v>
      </c>
      <c r="G461">
        <v>9.36</v>
      </c>
      <c r="H461" t="str">
        <f t="shared" si="7"/>
        <v>9.0+</v>
      </c>
      <c r="I461">
        <v>1</v>
      </c>
      <c r="J461">
        <v>0.89</v>
      </c>
    </row>
    <row r="462" spans="1:10" x14ac:dyDescent="0.35">
      <c r="A462">
        <v>319</v>
      </c>
      <c r="B462" t="str">
        <f>IF(Table1[[#This Row],[GRE Score]]&lt;=310,"300–310", IF(Table1[[#This Row],[GRE Score]]&lt;=320,"310–320", IF(Table1[[#This Row],[GRE Score]]&lt;=330,"320–330","330+")))</f>
        <v>310–320</v>
      </c>
      <c r="C462">
        <v>105</v>
      </c>
      <c r="D462">
        <v>4</v>
      </c>
      <c r="E462">
        <v>4</v>
      </c>
      <c r="F462">
        <v>4.5</v>
      </c>
      <c r="G462">
        <v>8.66</v>
      </c>
      <c r="H462" t="str">
        <f t="shared" si="7"/>
        <v>8.5–9.0</v>
      </c>
      <c r="I462">
        <v>1</v>
      </c>
      <c r="J462">
        <v>0.77</v>
      </c>
    </row>
    <row r="463" spans="1:10" x14ac:dyDescent="0.35">
      <c r="A463">
        <v>301</v>
      </c>
      <c r="B463" t="str">
        <f>IF(Table1[[#This Row],[GRE Score]]&lt;=310,"300–310", IF(Table1[[#This Row],[GRE Score]]&lt;=320,"310–320", IF(Table1[[#This Row],[GRE Score]]&lt;=330,"320–330","330+")))</f>
        <v>300–310</v>
      </c>
      <c r="C463">
        <v>102</v>
      </c>
      <c r="D463">
        <v>3</v>
      </c>
      <c r="E463">
        <v>2.5</v>
      </c>
      <c r="F463">
        <v>2</v>
      </c>
      <c r="G463">
        <v>8.1300000000000008</v>
      </c>
      <c r="H463" t="str">
        <f t="shared" si="7"/>
        <v>8.0–8.5</v>
      </c>
      <c r="I463">
        <v>1</v>
      </c>
      <c r="J463">
        <v>0.68</v>
      </c>
    </row>
    <row r="464" spans="1:10" x14ac:dyDescent="0.35">
      <c r="A464">
        <v>307</v>
      </c>
      <c r="B464" t="str">
        <f>IF(Table1[[#This Row],[GRE Score]]&lt;=310,"300–310", IF(Table1[[#This Row],[GRE Score]]&lt;=320,"310–320", IF(Table1[[#This Row],[GRE Score]]&lt;=330,"320–330","330+")))</f>
        <v>300–310</v>
      </c>
      <c r="C464">
        <v>105</v>
      </c>
      <c r="D464">
        <v>4</v>
      </c>
      <c r="E464">
        <v>3</v>
      </c>
      <c r="F464">
        <v>3</v>
      </c>
      <c r="G464">
        <v>7.94</v>
      </c>
      <c r="H464" t="str">
        <f t="shared" si="7"/>
        <v>7.5–8.0</v>
      </c>
      <c r="I464">
        <v>0</v>
      </c>
      <c r="J464">
        <v>0.62</v>
      </c>
    </row>
    <row r="465" spans="1:10" x14ac:dyDescent="0.35">
      <c r="A465">
        <v>304</v>
      </c>
      <c r="B465" t="str">
        <f>IF(Table1[[#This Row],[GRE Score]]&lt;=310,"300–310", IF(Table1[[#This Row],[GRE Score]]&lt;=320,"310–320", IF(Table1[[#This Row],[GRE Score]]&lt;=330,"320–330","330+")))</f>
        <v>300–310</v>
      </c>
      <c r="C465">
        <v>107</v>
      </c>
      <c r="D465">
        <v>3</v>
      </c>
      <c r="E465">
        <v>3.5</v>
      </c>
      <c r="F465">
        <v>3</v>
      </c>
      <c r="G465">
        <v>7.86</v>
      </c>
      <c r="H465" t="str">
        <f t="shared" si="7"/>
        <v>7.5–8.0</v>
      </c>
      <c r="I465">
        <v>0</v>
      </c>
      <c r="J465">
        <v>0.56999999999999995</v>
      </c>
    </row>
    <row r="466" spans="1:10" x14ac:dyDescent="0.35">
      <c r="A466">
        <v>298</v>
      </c>
      <c r="B466" t="str">
        <f>IF(Table1[[#This Row],[GRE Score]]&lt;=310,"300–310", IF(Table1[[#This Row],[GRE Score]]&lt;=320,"310–320", IF(Table1[[#This Row],[GRE Score]]&lt;=330,"320–330","330+")))</f>
        <v>300–310</v>
      </c>
      <c r="C466">
        <v>97</v>
      </c>
      <c r="D466">
        <v>2</v>
      </c>
      <c r="E466">
        <v>2</v>
      </c>
      <c r="F466">
        <v>3</v>
      </c>
      <c r="G466">
        <v>7.21</v>
      </c>
      <c r="H466" t="str">
        <f t="shared" si="7"/>
        <v>7.5–8.0</v>
      </c>
      <c r="I466">
        <v>0</v>
      </c>
      <c r="J466">
        <v>0.45</v>
      </c>
    </row>
    <row r="467" spans="1:10" x14ac:dyDescent="0.35">
      <c r="A467">
        <v>305</v>
      </c>
      <c r="B467" t="str">
        <f>IF(Table1[[#This Row],[GRE Score]]&lt;=310,"300–310", IF(Table1[[#This Row],[GRE Score]]&lt;=320,"310–320", IF(Table1[[#This Row],[GRE Score]]&lt;=330,"320–330","330+")))</f>
        <v>300–310</v>
      </c>
      <c r="C467">
        <v>96</v>
      </c>
      <c r="D467">
        <v>4</v>
      </c>
      <c r="E467">
        <v>3</v>
      </c>
      <c r="F467">
        <v>4.5</v>
      </c>
      <c r="G467">
        <v>8.26</v>
      </c>
      <c r="H467" t="str">
        <f t="shared" si="7"/>
        <v>8.0–8.5</v>
      </c>
      <c r="I467">
        <v>0</v>
      </c>
      <c r="J467">
        <v>0.54</v>
      </c>
    </row>
    <row r="468" spans="1:10" x14ac:dyDescent="0.35">
      <c r="A468">
        <v>314</v>
      </c>
      <c r="B468" t="str">
        <f>IF(Table1[[#This Row],[GRE Score]]&lt;=310,"300–310", IF(Table1[[#This Row],[GRE Score]]&lt;=320,"310–320", IF(Table1[[#This Row],[GRE Score]]&lt;=330,"320–330","330+")))</f>
        <v>310–320</v>
      </c>
      <c r="C468">
        <v>99</v>
      </c>
      <c r="D468">
        <v>4</v>
      </c>
      <c r="E468">
        <v>3.5</v>
      </c>
      <c r="F468">
        <v>4.5</v>
      </c>
      <c r="G468">
        <v>8.73</v>
      </c>
      <c r="H468" t="str">
        <f t="shared" si="7"/>
        <v>8.5–9.0</v>
      </c>
      <c r="I468">
        <v>1</v>
      </c>
      <c r="J468">
        <v>0.71</v>
      </c>
    </row>
    <row r="469" spans="1:10" x14ac:dyDescent="0.35">
      <c r="A469">
        <v>318</v>
      </c>
      <c r="B469" t="str">
        <f>IF(Table1[[#This Row],[GRE Score]]&lt;=310,"300–310", IF(Table1[[#This Row],[GRE Score]]&lt;=320,"310–320", IF(Table1[[#This Row],[GRE Score]]&lt;=330,"320–330","330+")))</f>
        <v>310–320</v>
      </c>
      <c r="C469">
        <v>101</v>
      </c>
      <c r="D469">
        <v>5</v>
      </c>
      <c r="E469">
        <v>3.5</v>
      </c>
      <c r="F469">
        <v>5</v>
      </c>
      <c r="G469">
        <v>8.7799999999999994</v>
      </c>
      <c r="H469" t="str">
        <f t="shared" si="7"/>
        <v>8.5–9.0</v>
      </c>
      <c r="I469">
        <v>1</v>
      </c>
      <c r="J469">
        <v>0.78</v>
      </c>
    </row>
    <row r="470" spans="1:10" x14ac:dyDescent="0.35">
      <c r="A470">
        <v>323</v>
      </c>
      <c r="B470" t="str">
        <f>IF(Table1[[#This Row],[GRE Score]]&lt;=310,"300–310", IF(Table1[[#This Row],[GRE Score]]&lt;=320,"310–320", IF(Table1[[#This Row],[GRE Score]]&lt;=330,"320–330","330+")))</f>
        <v>320–330</v>
      </c>
      <c r="C470">
        <v>110</v>
      </c>
      <c r="D470">
        <v>4</v>
      </c>
      <c r="E470">
        <v>4</v>
      </c>
      <c r="F470">
        <v>5</v>
      </c>
      <c r="G470">
        <v>8.8800000000000008</v>
      </c>
      <c r="H470" t="str">
        <f t="shared" si="7"/>
        <v>8.5–9.0</v>
      </c>
      <c r="I470">
        <v>1</v>
      </c>
      <c r="J470">
        <v>0.81</v>
      </c>
    </row>
    <row r="471" spans="1:10" x14ac:dyDescent="0.35">
      <c r="A471">
        <v>326</v>
      </c>
      <c r="B471" t="str">
        <f>IF(Table1[[#This Row],[GRE Score]]&lt;=310,"300–310", IF(Table1[[#This Row],[GRE Score]]&lt;=320,"310–320", IF(Table1[[#This Row],[GRE Score]]&lt;=330,"320–330","330+")))</f>
        <v>320–330</v>
      </c>
      <c r="C471">
        <v>114</v>
      </c>
      <c r="D471">
        <v>4</v>
      </c>
      <c r="E471">
        <v>4</v>
      </c>
      <c r="F471">
        <v>3.5</v>
      </c>
      <c r="G471">
        <v>9.16</v>
      </c>
      <c r="H471" t="str">
        <f t="shared" si="7"/>
        <v>9.0+</v>
      </c>
      <c r="I471">
        <v>1</v>
      </c>
      <c r="J471">
        <v>0.86</v>
      </c>
    </row>
    <row r="472" spans="1:10" x14ac:dyDescent="0.35">
      <c r="A472">
        <v>320</v>
      </c>
      <c r="B472" t="str">
        <f>IF(Table1[[#This Row],[GRE Score]]&lt;=310,"300–310", IF(Table1[[#This Row],[GRE Score]]&lt;=320,"310–320", IF(Table1[[#This Row],[GRE Score]]&lt;=330,"320–330","330+")))</f>
        <v>310–320</v>
      </c>
      <c r="C472">
        <v>110</v>
      </c>
      <c r="D472">
        <v>5</v>
      </c>
      <c r="E472">
        <v>4</v>
      </c>
      <c r="F472">
        <v>4</v>
      </c>
      <c r="G472">
        <v>9.27</v>
      </c>
      <c r="H472" t="str">
        <f t="shared" si="7"/>
        <v>9.0+</v>
      </c>
      <c r="I472">
        <v>1</v>
      </c>
      <c r="J472">
        <v>0.87</v>
      </c>
    </row>
    <row r="473" spans="1:10" x14ac:dyDescent="0.35">
      <c r="A473">
        <v>311</v>
      </c>
      <c r="B473" t="str">
        <f>IF(Table1[[#This Row],[GRE Score]]&lt;=310,"300–310", IF(Table1[[#This Row],[GRE Score]]&lt;=320,"310–320", IF(Table1[[#This Row],[GRE Score]]&lt;=330,"320–330","330+")))</f>
        <v>310–320</v>
      </c>
      <c r="C473">
        <v>103</v>
      </c>
      <c r="D473">
        <v>3</v>
      </c>
      <c r="E473">
        <v>2</v>
      </c>
      <c r="F473">
        <v>4</v>
      </c>
      <c r="G473">
        <v>8.09</v>
      </c>
      <c r="H473" t="str">
        <f t="shared" si="7"/>
        <v>8.0–8.5</v>
      </c>
      <c r="I473">
        <v>0</v>
      </c>
      <c r="J473">
        <v>0.64</v>
      </c>
    </row>
    <row r="474" spans="1:10" x14ac:dyDescent="0.35">
      <c r="A474">
        <v>327</v>
      </c>
      <c r="B474" t="str">
        <f>IF(Table1[[#This Row],[GRE Score]]&lt;=310,"300–310", IF(Table1[[#This Row],[GRE Score]]&lt;=320,"310–320", IF(Table1[[#This Row],[GRE Score]]&lt;=330,"320–330","330+")))</f>
        <v>320–330</v>
      </c>
      <c r="C474">
        <v>116</v>
      </c>
      <c r="D474">
        <v>4</v>
      </c>
      <c r="E474">
        <v>4</v>
      </c>
      <c r="F474">
        <v>4.5</v>
      </c>
      <c r="G474">
        <v>9.48</v>
      </c>
      <c r="H474" t="str">
        <f t="shared" si="7"/>
        <v>9.0+</v>
      </c>
      <c r="I474">
        <v>1</v>
      </c>
      <c r="J474">
        <v>0.9</v>
      </c>
    </row>
    <row r="475" spans="1:10" x14ac:dyDescent="0.35">
      <c r="A475">
        <v>316</v>
      </c>
      <c r="B475" t="str">
        <f>IF(Table1[[#This Row],[GRE Score]]&lt;=310,"300–310", IF(Table1[[#This Row],[GRE Score]]&lt;=320,"310–320", IF(Table1[[#This Row],[GRE Score]]&lt;=330,"320–330","330+")))</f>
        <v>310–320</v>
      </c>
      <c r="C475">
        <v>102</v>
      </c>
      <c r="D475">
        <v>2</v>
      </c>
      <c r="E475">
        <v>4</v>
      </c>
      <c r="F475">
        <v>3.5</v>
      </c>
      <c r="G475">
        <v>8.15</v>
      </c>
      <c r="H475" t="str">
        <f t="shared" si="7"/>
        <v>8.0–8.5</v>
      </c>
      <c r="I475">
        <v>0</v>
      </c>
      <c r="J475">
        <v>0.67</v>
      </c>
    </row>
    <row r="476" spans="1:10" x14ac:dyDescent="0.35">
      <c r="A476">
        <v>308</v>
      </c>
      <c r="B476" t="str">
        <f>IF(Table1[[#This Row],[GRE Score]]&lt;=310,"300–310", IF(Table1[[#This Row],[GRE Score]]&lt;=320,"310–320", IF(Table1[[#This Row],[GRE Score]]&lt;=330,"320–330","330+")))</f>
        <v>300–310</v>
      </c>
      <c r="C476">
        <v>105</v>
      </c>
      <c r="D476">
        <v>4</v>
      </c>
      <c r="E476">
        <v>3</v>
      </c>
      <c r="F476">
        <v>2.5</v>
      </c>
      <c r="G476">
        <v>7.95</v>
      </c>
      <c r="H476" t="str">
        <f t="shared" si="7"/>
        <v>7.5–8.0</v>
      </c>
      <c r="I476">
        <v>1</v>
      </c>
      <c r="J476">
        <v>0.67</v>
      </c>
    </row>
    <row r="477" spans="1:10" x14ac:dyDescent="0.35">
      <c r="A477">
        <v>300</v>
      </c>
      <c r="B477" t="str">
        <f>IF(Table1[[#This Row],[GRE Score]]&lt;=310,"300–310", IF(Table1[[#This Row],[GRE Score]]&lt;=320,"310–320", IF(Table1[[#This Row],[GRE Score]]&lt;=330,"320–330","330+")))</f>
        <v>300–310</v>
      </c>
      <c r="C477">
        <v>101</v>
      </c>
      <c r="D477">
        <v>3</v>
      </c>
      <c r="E477">
        <v>3.5</v>
      </c>
      <c r="F477">
        <v>2.5</v>
      </c>
      <c r="G477">
        <v>7.88</v>
      </c>
      <c r="H477" t="str">
        <f t="shared" si="7"/>
        <v>7.5–8.0</v>
      </c>
      <c r="I477">
        <v>0</v>
      </c>
      <c r="J477">
        <v>0.59</v>
      </c>
    </row>
    <row r="478" spans="1:10" x14ac:dyDescent="0.35">
      <c r="A478">
        <v>304</v>
      </c>
      <c r="B478" t="str">
        <f>IF(Table1[[#This Row],[GRE Score]]&lt;=310,"300–310", IF(Table1[[#This Row],[GRE Score]]&lt;=320,"310–320", IF(Table1[[#This Row],[GRE Score]]&lt;=330,"320–330","330+")))</f>
        <v>300–310</v>
      </c>
      <c r="C478">
        <v>104</v>
      </c>
      <c r="D478">
        <v>3</v>
      </c>
      <c r="E478">
        <v>2.5</v>
      </c>
      <c r="F478">
        <v>2</v>
      </c>
      <c r="G478">
        <v>8.1199999999999992</v>
      </c>
      <c r="H478" t="str">
        <f t="shared" si="7"/>
        <v>8.0–8.5</v>
      </c>
      <c r="I478">
        <v>0</v>
      </c>
      <c r="J478">
        <v>0.62</v>
      </c>
    </row>
    <row r="479" spans="1:10" x14ac:dyDescent="0.35">
      <c r="A479">
        <v>309</v>
      </c>
      <c r="B479" t="str">
        <f>IF(Table1[[#This Row],[GRE Score]]&lt;=310,"300–310", IF(Table1[[#This Row],[GRE Score]]&lt;=320,"310–320", IF(Table1[[#This Row],[GRE Score]]&lt;=330,"320–330","330+")))</f>
        <v>300–310</v>
      </c>
      <c r="C479">
        <v>105</v>
      </c>
      <c r="D479">
        <v>4</v>
      </c>
      <c r="E479">
        <v>3.5</v>
      </c>
      <c r="F479">
        <v>2</v>
      </c>
      <c r="G479">
        <v>8.18</v>
      </c>
      <c r="H479" t="str">
        <f t="shared" si="7"/>
        <v>8.0–8.5</v>
      </c>
      <c r="I479">
        <v>0</v>
      </c>
      <c r="J479">
        <v>0.65</v>
      </c>
    </row>
    <row r="480" spans="1:10" x14ac:dyDescent="0.35">
      <c r="A480">
        <v>318</v>
      </c>
      <c r="B480" t="str">
        <f>IF(Table1[[#This Row],[GRE Score]]&lt;=310,"300–310", IF(Table1[[#This Row],[GRE Score]]&lt;=320,"310–320", IF(Table1[[#This Row],[GRE Score]]&lt;=330,"320–330","330+")))</f>
        <v>310–320</v>
      </c>
      <c r="C480">
        <v>103</v>
      </c>
      <c r="D480">
        <v>3</v>
      </c>
      <c r="E480">
        <v>4</v>
      </c>
      <c r="F480">
        <v>4.5</v>
      </c>
      <c r="G480">
        <v>8.49</v>
      </c>
      <c r="H480" t="str">
        <f t="shared" si="7"/>
        <v>8.0–8.5</v>
      </c>
      <c r="I480">
        <v>1</v>
      </c>
      <c r="J480">
        <v>0.71</v>
      </c>
    </row>
    <row r="481" spans="1:10" x14ac:dyDescent="0.35">
      <c r="A481">
        <v>325</v>
      </c>
      <c r="B481" t="str">
        <f>IF(Table1[[#This Row],[GRE Score]]&lt;=310,"300–310", IF(Table1[[#This Row],[GRE Score]]&lt;=320,"310–320", IF(Table1[[#This Row],[GRE Score]]&lt;=330,"320–330","330+")))</f>
        <v>320–330</v>
      </c>
      <c r="C481">
        <v>110</v>
      </c>
      <c r="D481">
        <v>4</v>
      </c>
      <c r="E481">
        <v>4.5</v>
      </c>
      <c r="F481">
        <v>4</v>
      </c>
      <c r="G481">
        <v>8.9600000000000009</v>
      </c>
      <c r="H481" t="str">
        <f t="shared" si="7"/>
        <v>8.5–9.0</v>
      </c>
      <c r="I481">
        <v>1</v>
      </c>
      <c r="J481">
        <v>0.79</v>
      </c>
    </row>
    <row r="482" spans="1:10" x14ac:dyDescent="0.35">
      <c r="A482">
        <v>321</v>
      </c>
      <c r="B482" t="str">
        <f>IF(Table1[[#This Row],[GRE Score]]&lt;=310,"300–310", IF(Table1[[#This Row],[GRE Score]]&lt;=320,"310–320", IF(Table1[[#This Row],[GRE Score]]&lt;=330,"320–330","330+")))</f>
        <v>320–330</v>
      </c>
      <c r="C482">
        <v>102</v>
      </c>
      <c r="D482">
        <v>3</v>
      </c>
      <c r="E482">
        <v>3.5</v>
      </c>
      <c r="F482">
        <v>4</v>
      </c>
      <c r="G482">
        <v>9.01</v>
      </c>
      <c r="H482" t="str">
        <f t="shared" si="7"/>
        <v>9.0+</v>
      </c>
      <c r="I482">
        <v>1</v>
      </c>
      <c r="J482">
        <v>0.8</v>
      </c>
    </row>
    <row r="483" spans="1:10" x14ac:dyDescent="0.35">
      <c r="A483">
        <v>323</v>
      </c>
      <c r="B483" t="str">
        <f>IF(Table1[[#This Row],[GRE Score]]&lt;=310,"300–310", IF(Table1[[#This Row],[GRE Score]]&lt;=320,"310–320", IF(Table1[[#This Row],[GRE Score]]&lt;=330,"320–330","330+")))</f>
        <v>320–330</v>
      </c>
      <c r="C483">
        <v>107</v>
      </c>
      <c r="D483">
        <v>4</v>
      </c>
      <c r="E483">
        <v>3</v>
      </c>
      <c r="F483">
        <v>2.5</v>
      </c>
      <c r="G483">
        <v>8.48</v>
      </c>
      <c r="H483" t="str">
        <f t="shared" si="7"/>
        <v>8.0–8.5</v>
      </c>
      <c r="I483">
        <v>1</v>
      </c>
      <c r="J483">
        <v>0.78</v>
      </c>
    </row>
    <row r="484" spans="1:10" x14ac:dyDescent="0.35">
      <c r="A484">
        <v>328</v>
      </c>
      <c r="B484" t="str">
        <f>IF(Table1[[#This Row],[GRE Score]]&lt;=310,"300–310", IF(Table1[[#This Row],[GRE Score]]&lt;=320,"310–320", IF(Table1[[#This Row],[GRE Score]]&lt;=330,"320–330","330+")))</f>
        <v>320–330</v>
      </c>
      <c r="C484">
        <v>113</v>
      </c>
      <c r="D484">
        <v>4</v>
      </c>
      <c r="E484">
        <v>4</v>
      </c>
      <c r="F484">
        <v>2.5</v>
      </c>
      <c r="G484">
        <v>8.77</v>
      </c>
      <c r="H484" t="str">
        <f t="shared" si="7"/>
        <v>8.5–9.0</v>
      </c>
      <c r="I484">
        <v>1</v>
      </c>
      <c r="J484">
        <v>0.83</v>
      </c>
    </row>
    <row r="485" spans="1:10" x14ac:dyDescent="0.35">
      <c r="A485">
        <v>304</v>
      </c>
      <c r="B485" t="str">
        <f>IF(Table1[[#This Row],[GRE Score]]&lt;=310,"300–310", IF(Table1[[#This Row],[GRE Score]]&lt;=320,"310–320", IF(Table1[[#This Row],[GRE Score]]&lt;=330,"320–330","330+")))</f>
        <v>300–310</v>
      </c>
      <c r="C485">
        <v>103</v>
      </c>
      <c r="D485">
        <v>5</v>
      </c>
      <c r="E485">
        <v>5</v>
      </c>
      <c r="F485">
        <v>3</v>
      </c>
      <c r="G485">
        <v>7.92</v>
      </c>
      <c r="H485" t="str">
        <f t="shared" si="7"/>
        <v>7.5–8.0</v>
      </c>
      <c r="I485">
        <v>0</v>
      </c>
      <c r="J485">
        <v>0.71</v>
      </c>
    </row>
    <row r="486" spans="1:10" x14ac:dyDescent="0.35">
      <c r="A486">
        <v>317</v>
      </c>
      <c r="B486" t="str">
        <f>IF(Table1[[#This Row],[GRE Score]]&lt;=310,"300–310", IF(Table1[[#This Row],[GRE Score]]&lt;=320,"310–320", IF(Table1[[#This Row],[GRE Score]]&lt;=330,"320–330","330+")))</f>
        <v>310–320</v>
      </c>
      <c r="C486">
        <v>106</v>
      </c>
      <c r="D486">
        <v>3</v>
      </c>
      <c r="E486">
        <v>3.5</v>
      </c>
      <c r="F486">
        <v>3</v>
      </c>
      <c r="G486">
        <v>7.89</v>
      </c>
      <c r="H486" t="str">
        <f t="shared" si="7"/>
        <v>7.5–8.0</v>
      </c>
      <c r="I486">
        <v>1</v>
      </c>
      <c r="J486">
        <v>0.73</v>
      </c>
    </row>
    <row r="487" spans="1:10" x14ac:dyDescent="0.35">
      <c r="A487">
        <v>311</v>
      </c>
      <c r="B487" t="str">
        <f>IF(Table1[[#This Row],[GRE Score]]&lt;=310,"300–310", IF(Table1[[#This Row],[GRE Score]]&lt;=320,"310–320", IF(Table1[[#This Row],[GRE Score]]&lt;=330,"320–330","330+")))</f>
        <v>310–320</v>
      </c>
      <c r="C487">
        <v>101</v>
      </c>
      <c r="D487">
        <v>2</v>
      </c>
      <c r="E487">
        <v>2.5</v>
      </c>
      <c r="F487">
        <v>3.5</v>
      </c>
      <c r="G487">
        <v>8.34</v>
      </c>
      <c r="H487" t="str">
        <f t="shared" si="7"/>
        <v>8.0–8.5</v>
      </c>
      <c r="I487">
        <v>1</v>
      </c>
      <c r="J487">
        <v>0.7</v>
      </c>
    </row>
    <row r="488" spans="1:10" x14ac:dyDescent="0.35">
      <c r="A488">
        <v>319</v>
      </c>
      <c r="B488" t="str">
        <f>IF(Table1[[#This Row],[GRE Score]]&lt;=310,"300–310", IF(Table1[[#This Row],[GRE Score]]&lt;=320,"310–320", IF(Table1[[#This Row],[GRE Score]]&lt;=330,"320–330","330+")))</f>
        <v>310–320</v>
      </c>
      <c r="C488">
        <v>102</v>
      </c>
      <c r="D488">
        <v>3</v>
      </c>
      <c r="E488">
        <v>2.5</v>
      </c>
      <c r="F488">
        <v>2.5</v>
      </c>
      <c r="G488">
        <v>8.3699999999999992</v>
      </c>
      <c r="H488" t="str">
        <f t="shared" si="7"/>
        <v>8.0–8.5</v>
      </c>
      <c r="I488">
        <v>0</v>
      </c>
      <c r="J488">
        <v>0.68</v>
      </c>
    </row>
    <row r="489" spans="1:10" x14ac:dyDescent="0.35">
      <c r="A489">
        <v>327</v>
      </c>
      <c r="B489" t="str">
        <f>IF(Table1[[#This Row],[GRE Score]]&lt;=310,"300–310", IF(Table1[[#This Row],[GRE Score]]&lt;=320,"310–320", IF(Table1[[#This Row],[GRE Score]]&lt;=330,"320–330","330+")))</f>
        <v>320–330</v>
      </c>
      <c r="C489">
        <v>115</v>
      </c>
      <c r="D489">
        <v>4</v>
      </c>
      <c r="E489">
        <v>3.5</v>
      </c>
      <c r="F489">
        <v>4</v>
      </c>
      <c r="G489">
        <v>9.14</v>
      </c>
      <c r="H489" t="str">
        <f t="shared" si="7"/>
        <v>9.0+</v>
      </c>
      <c r="I489">
        <v>0</v>
      </c>
      <c r="J489">
        <v>0.79</v>
      </c>
    </row>
    <row r="490" spans="1:10" x14ac:dyDescent="0.35">
      <c r="A490">
        <v>322</v>
      </c>
      <c r="B490" t="str">
        <f>IF(Table1[[#This Row],[GRE Score]]&lt;=310,"300–310", IF(Table1[[#This Row],[GRE Score]]&lt;=320,"310–320", IF(Table1[[#This Row],[GRE Score]]&lt;=330,"320–330","330+")))</f>
        <v>320–330</v>
      </c>
      <c r="C490">
        <v>112</v>
      </c>
      <c r="D490">
        <v>3</v>
      </c>
      <c r="E490">
        <v>3</v>
      </c>
      <c r="F490">
        <v>4</v>
      </c>
      <c r="G490">
        <v>8.6199999999999992</v>
      </c>
      <c r="H490" t="str">
        <f t="shared" si="7"/>
        <v>8.5–9.0</v>
      </c>
      <c r="I490">
        <v>1</v>
      </c>
      <c r="J490">
        <v>0.76</v>
      </c>
    </row>
    <row r="491" spans="1:10" x14ac:dyDescent="0.35">
      <c r="A491">
        <v>302</v>
      </c>
      <c r="B491" t="str">
        <f>IF(Table1[[#This Row],[GRE Score]]&lt;=310,"300–310", IF(Table1[[#This Row],[GRE Score]]&lt;=320,"310–320", IF(Table1[[#This Row],[GRE Score]]&lt;=330,"320–330","330+")))</f>
        <v>300–310</v>
      </c>
      <c r="C491">
        <v>110</v>
      </c>
      <c r="D491">
        <v>3</v>
      </c>
      <c r="E491">
        <v>4</v>
      </c>
      <c r="F491">
        <v>4.5</v>
      </c>
      <c r="G491">
        <v>8.5</v>
      </c>
      <c r="H491" t="str">
        <f t="shared" si="7"/>
        <v>8.5–9.0</v>
      </c>
      <c r="I491">
        <v>0</v>
      </c>
      <c r="J491">
        <v>0.65</v>
      </c>
    </row>
    <row r="492" spans="1:10" x14ac:dyDescent="0.35">
      <c r="A492">
        <v>307</v>
      </c>
      <c r="B492" t="str">
        <f>IF(Table1[[#This Row],[GRE Score]]&lt;=310,"300–310", IF(Table1[[#This Row],[GRE Score]]&lt;=320,"310–320", IF(Table1[[#This Row],[GRE Score]]&lt;=330,"320–330","330+")))</f>
        <v>300–310</v>
      </c>
      <c r="C492">
        <v>105</v>
      </c>
      <c r="D492">
        <v>2</v>
      </c>
      <c r="E492">
        <v>2.5</v>
      </c>
      <c r="F492">
        <v>4.5</v>
      </c>
      <c r="G492">
        <v>8.1199999999999992</v>
      </c>
      <c r="H492" t="str">
        <f t="shared" si="7"/>
        <v>8.0–8.5</v>
      </c>
      <c r="I492">
        <v>1</v>
      </c>
      <c r="J492">
        <v>0.67</v>
      </c>
    </row>
    <row r="493" spans="1:10" x14ac:dyDescent="0.35">
      <c r="A493">
        <v>297</v>
      </c>
      <c r="B493" t="str">
        <f>IF(Table1[[#This Row],[GRE Score]]&lt;=310,"300–310", IF(Table1[[#This Row],[GRE Score]]&lt;=320,"310–320", IF(Table1[[#This Row],[GRE Score]]&lt;=330,"320–330","330+")))</f>
        <v>300–310</v>
      </c>
      <c r="C493">
        <v>99</v>
      </c>
      <c r="D493">
        <v>4</v>
      </c>
      <c r="E493">
        <v>3</v>
      </c>
      <c r="F493">
        <v>3.5</v>
      </c>
      <c r="G493">
        <v>7.81</v>
      </c>
      <c r="H493" t="str">
        <f t="shared" si="7"/>
        <v>7.5–8.0</v>
      </c>
      <c r="I493">
        <v>0</v>
      </c>
      <c r="J493">
        <v>0.54</v>
      </c>
    </row>
    <row r="494" spans="1:10" x14ac:dyDescent="0.35">
      <c r="A494">
        <v>298</v>
      </c>
      <c r="B494" t="str">
        <f>IF(Table1[[#This Row],[GRE Score]]&lt;=310,"300–310", IF(Table1[[#This Row],[GRE Score]]&lt;=320,"310–320", IF(Table1[[#This Row],[GRE Score]]&lt;=330,"320–330","330+")))</f>
        <v>300–310</v>
      </c>
      <c r="C494">
        <v>101</v>
      </c>
      <c r="D494">
        <v>4</v>
      </c>
      <c r="E494">
        <v>2.5</v>
      </c>
      <c r="F494">
        <v>4.5</v>
      </c>
      <c r="G494">
        <v>7.69</v>
      </c>
      <c r="H494" t="str">
        <f t="shared" si="7"/>
        <v>7.5–8.0</v>
      </c>
      <c r="I494">
        <v>1</v>
      </c>
      <c r="J494">
        <v>0.53</v>
      </c>
    </row>
    <row r="495" spans="1:10" x14ac:dyDescent="0.35">
      <c r="A495">
        <v>300</v>
      </c>
      <c r="B495" t="str">
        <f>IF(Table1[[#This Row],[GRE Score]]&lt;=310,"300–310", IF(Table1[[#This Row],[GRE Score]]&lt;=320,"310–320", IF(Table1[[#This Row],[GRE Score]]&lt;=330,"320–330","330+")))</f>
        <v>300–310</v>
      </c>
      <c r="C495">
        <v>95</v>
      </c>
      <c r="D495">
        <v>2</v>
      </c>
      <c r="E495">
        <v>3</v>
      </c>
      <c r="F495">
        <v>1.5</v>
      </c>
      <c r="G495">
        <v>8.2200000000000006</v>
      </c>
      <c r="H495" t="str">
        <f t="shared" si="7"/>
        <v>8.0–8.5</v>
      </c>
      <c r="I495">
        <v>1</v>
      </c>
      <c r="J495">
        <v>0.62</v>
      </c>
    </row>
    <row r="496" spans="1:10" x14ac:dyDescent="0.35">
      <c r="A496">
        <v>301</v>
      </c>
      <c r="B496" t="str">
        <f>IF(Table1[[#This Row],[GRE Score]]&lt;=310,"300–310", IF(Table1[[#This Row],[GRE Score]]&lt;=320,"310–320", IF(Table1[[#This Row],[GRE Score]]&lt;=330,"320–330","330+")))</f>
        <v>300–310</v>
      </c>
      <c r="C496">
        <v>99</v>
      </c>
      <c r="D496">
        <v>3</v>
      </c>
      <c r="E496">
        <v>2.5</v>
      </c>
      <c r="F496">
        <v>2</v>
      </c>
      <c r="G496">
        <v>8.4499999999999993</v>
      </c>
      <c r="H496" t="str">
        <f t="shared" si="7"/>
        <v>8.0–8.5</v>
      </c>
      <c r="I496">
        <v>1</v>
      </c>
      <c r="J496">
        <v>0.68</v>
      </c>
    </row>
    <row r="497" spans="1:10" x14ac:dyDescent="0.35">
      <c r="A497">
        <v>332</v>
      </c>
      <c r="B497" t="str">
        <f>IF(Table1[[#This Row],[GRE Score]]&lt;=310,"300–310", IF(Table1[[#This Row],[GRE Score]]&lt;=320,"310–320", IF(Table1[[#This Row],[GRE Score]]&lt;=330,"320–330","330+")))</f>
        <v>330+</v>
      </c>
      <c r="C497">
        <v>108</v>
      </c>
      <c r="D497">
        <v>5</v>
      </c>
      <c r="E497">
        <v>4.5</v>
      </c>
      <c r="F497">
        <v>4</v>
      </c>
      <c r="G497">
        <v>9.02</v>
      </c>
      <c r="H497" t="str">
        <f t="shared" si="7"/>
        <v>9.0+</v>
      </c>
      <c r="I497">
        <v>1</v>
      </c>
      <c r="J497">
        <v>0.87</v>
      </c>
    </row>
    <row r="498" spans="1:10" x14ac:dyDescent="0.35">
      <c r="A498">
        <v>337</v>
      </c>
      <c r="B498" t="str">
        <f>IF(Table1[[#This Row],[GRE Score]]&lt;=310,"300–310", IF(Table1[[#This Row],[GRE Score]]&lt;=320,"310–320", IF(Table1[[#This Row],[GRE Score]]&lt;=330,"320–330","330+")))</f>
        <v>330+</v>
      </c>
      <c r="C498">
        <v>117</v>
      </c>
      <c r="D498">
        <v>5</v>
      </c>
      <c r="E498">
        <v>5</v>
      </c>
      <c r="F498">
        <v>5</v>
      </c>
      <c r="G498">
        <v>9.8699999999999992</v>
      </c>
      <c r="H498" t="str">
        <f t="shared" si="7"/>
        <v>9.0+</v>
      </c>
      <c r="I498">
        <v>1</v>
      </c>
      <c r="J498">
        <v>0.96</v>
      </c>
    </row>
    <row r="499" spans="1:10" x14ac:dyDescent="0.35">
      <c r="A499">
        <v>330</v>
      </c>
      <c r="B499" t="str">
        <f>IF(Table1[[#This Row],[GRE Score]]&lt;=310,"300–310", IF(Table1[[#This Row],[GRE Score]]&lt;=320,"310–320", IF(Table1[[#This Row],[GRE Score]]&lt;=330,"320–330","330+")))</f>
        <v>320–330</v>
      </c>
      <c r="C499">
        <v>120</v>
      </c>
      <c r="D499">
        <v>5</v>
      </c>
      <c r="E499">
        <v>4.5</v>
      </c>
      <c r="F499">
        <v>5</v>
      </c>
      <c r="G499">
        <v>9.56</v>
      </c>
      <c r="H499" t="str">
        <f t="shared" si="7"/>
        <v>9.0+</v>
      </c>
      <c r="I499">
        <v>1</v>
      </c>
      <c r="J499">
        <v>0.93</v>
      </c>
    </row>
    <row r="500" spans="1:10" x14ac:dyDescent="0.35">
      <c r="A500">
        <v>312</v>
      </c>
      <c r="B500" t="str">
        <f>IF(Table1[[#This Row],[GRE Score]]&lt;=310,"300–310", IF(Table1[[#This Row],[GRE Score]]&lt;=320,"310–320", IF(Table1[[#This Row],[GRE Score]]&lt;=330,"320–330","330+")))</f>
        <v>310–320</v>
      </c>
      <c r="C500">
        <v>103</v>
      </c>
      <c r="D500">
        <v>4</v>
      </c>
      <c r="E500">
        <v>4</v>
      </c>
      <c r="F500">
        <v>5</v>
      </c>
      <c r="G500">
        <v>8.43</v>
      </c>
      <c r="H500" t="str">
        <f t="shared" si="7"/>
        <v>8.0–8.5</v>
      </c>
      <c r="I500">
        <v>0</v>
      </c>
      <c r="J500">
        <v>0.73</v>
      </c>
    </row>
    <row r="501" spans="1:10" x14ac:dyDescent="0.35">
      <c r="A501">
        <v>327</v>
      </c>
      <c r="B501" t="str">
        <f>IF(Table1[[#This Row],[GRE Score]]&lt;=310,"300–310", IF(Table1[[#This Row],[GRE Score]]&lt;=320,"310–320", IF(Table1[[#This Row],[GRE Score]]&lt;=330,"320–330","330+")))</f>
        <v>320–330</v>
      </c>
      <c r="C501">
        <v>113</v>
      </c>
      <c r="D501">
        <v>4</v>
      </c>
      <c r="E501">
        <v>4.5</v>
      </c>
      <c r="F501">
        <v>4.5</v>
      </c>
      <c r="G501">
        <v>9.0399999999999991</v>
      </c>
      <c r="H501" t="str">
        <f t="shared" si="7"/>
        <v>9.0+</v>
      </c>
      <c r="I501">
        <v>0</v>
      </c>
      <c r="J501">
        <v>0.84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Avg chance by CGPA grp</vt:lpstr>
      <vt:lpstr>University rating effect</vt:lpstr>
      <vt:lpstr>Sheet1</vt:lpstr>
      <vt:lpstr>Sheet2</vt:lpstr>
      <vt:lpstr>Dashboard</vt:lpstr>
      <vt:lpstr>Sheet3</vt:lpstr>
      <vt:lpstr>admission_data_set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Justice</dc:creator>
  <cp:lastModifiedBy>ChimaJR _</cp:lastModifiedBy>
  <dcterms:created xsi:type="dcterms:W3CDTF">2026-05-01T13:47:32Z</dcterms:created>
  <dcterms:modified xsi:type="dcterms:W3CDTF">2026-05-07T21:15:49Z</dcterms:modified>
</cp:coreProperties>
</file>